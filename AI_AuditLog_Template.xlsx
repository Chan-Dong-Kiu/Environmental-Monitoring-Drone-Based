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75" activeTab="3"/>
  </bookViews>
  <sheets>
    <sheet name="1. Metadata &amp; Summary" sheetId="1" r:id="rId1"/>
    <sheet name="2. Detailed Audit Log" sheetId="2" r:id="rId2"/>
    <sheet name="3. Hallucination Detection" sheetId="3" r:id="rId3"/>
    <sheet name="4. Self-Assessment Checklist" sheetId="4" r:id="rId4"/>
  </sheets>
  <calcPr calcId="144525"/>
</workbook>
</file>

<file path=xl/sharedStrings.xml><?xml version="1.0" encoding="utf-8"?>
<sst xmlns="http://schemas.openxmlformats.org/spreadsheetml/2006/main" count="188" uniqueCount="162">
  <si>
    <t>AI AUDIT LOG - METADATA &amp; SUMMARY</t>
  </si>
  <si>
    <t>STUDENT INFORMATION</t>
  </si>
  <si>
    <t>Student Name:</t>
  </si>
  <si>
    <t>Nguyễn Ngọc Duy
Huỳnh Quốc Cường</t>
  </si>
  <si>
    <t>Student ID:</t>
  </si>
  <si>
    <t>SE205008
SE205311</t>
  </si>
  <si>
    <t>Course:</t>
  </si>
  <si>
    <t>IOT102</t>
  </si>
  <si>
    <t>Assignment:</t>
  </si>
  <si>
    <t>Weather Station Monitoring System</t>
  </si>
  <si>
    <t>AI USAGE SUMMARY</t>
  </si>
  <si>
    <t>Total Prompts Used (all AI tools):</t>
  </si>
  <si>
    <t>~90</t>
  </si>
  <si>
    <t>Core Prompts Logged:</t>
  </si>
  <si>
    <t>Selection Ratio:</t>
  </si>
  <si>
    <t>Should be 10-20%</t>
  </si>
  <si>
    <t>Hallucination Detected:</t>
  </si>
  <si>
    <t>AI TOOLS USED</t>
  </si>
  <si>
    <t>AI Tool</t>
  </si>
  <si>
    <t>Purpose</t>
  </si>
  <si>
    <t>Main Value</t>
  </si>
  <si>
    <t>ChatGPT</t>
  </si>
  <si>
    <t>Look up information nationwide, support learning</t>
  </si>
  <si>
    <t>High</t>
  </si>
  <si>
    <t>Rapid prototyping</t>
  </si>
  <si>
    <t>GitHub Copilot</t>
  </si>
  <si>
    <t>Auto-completion, Image creation</t>
  </si>
  <si>
    <t>Medium</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</si>
  <si>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</si>
  <si>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</si>
  <si>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</si>
  <si>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</si>
  <si>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</si>
  <si>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</si>
  <si>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</si>
  <si>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</si>
  <si>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</si>
  <si>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</si>
  <si>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</si>
  <si>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</si>
  <si>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</si>
  <si>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</si>
  <si>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</si>
  <si>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</si>
  <si>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</si>
  <si>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</si>
  <si>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</si>
  <si>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</si>
  <si>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</si>
  <si>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</si>
  <si>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 xml:space="preserve">QUYẾT ĐỊNH
</t>
  </si>
  <si>
    <t>Lựa chọn phần cứng (Hardware Selection)</t>
  </si>
  <si>
    <t>Nhóm cần chọn vi điều khiển chính: Arduino Uno hay ESP32 để điều khiển toàn bộ hệ thống.</t>
  </si>
  <si>
    <t>Arduino Uno hay ESP32 phù hợp hơn cho dự án khóa cửa thông minh có cảm biến vân tay, bàn phím, Bluetooth và servo?</t>
  </si>
  <si>
    <t>AI đề xuất dùng ESP32 vì: có WiFi và Bluetooth tích hợp sẵn, nhiều bộ nhớ hơn, xử lý nhanh hơn, phù hợp với các dự án IoT hiện đại.</t>
  </si>
  <si>
    <t>Tư duy phản biện: ESP32 mạnh hơn thật, nhưng dự án đã có module HC-05 xử lý Bluetooth rồi, nên WiFi/BT tích hợp của ESP32 không cần thiết.
 Bối cảnh hóa: Nhóm quen dùng Arduino Uno, chuyển sang ESP32 sẽ mất thêm thời gian học. Thời gian dự án chỉ có 11 tuần.
 Sáng tạo tổng hợp: So sánh cụ thể — Arduino Uno: 16MHz, 2KB RAM, giá ~70k; ESP32: 240MHz, 520KB RAM, giá ~90k. Với 6 thiết bị ngoại vi của nhóm, Arduino Uno hoàn toàn đủ dùng.
 Quyết định: Giữ Arduino Uno. Gợi ý của AI đúng với dự án lớn hơn, nhưng với quy mô dự án này, Uno là lựa chọn hợp lý và tiết kiệm thời gian hơn.</t>
  </si>
  <si>
    <t>Bảng so sánh thông số Arduino Uno và ESP32; danh sách 6 thiết bị ngoại vi của nhóm</t>
  </si>
  <si>
    <t>002</t>
  </si>
  <si>
    <t>QUYẾT ĐỊNH</t>
  </si>
  <si>
    <t>Lựa chọn giao thức (Bluetooth vs WiFi MQTT)</t>
  </si>
  <si>
    <t>Nhóm cần chọn cách điện thoại giao tiếp với khóa cửa: dùng Bluetooth HC-05 hay WiFi kết hợp MQTT.</t>
  </si>
  <si>
    <t>Nên dùng Bluetooth HC-05 hay WiFi MQTT để điều khiển khóa cửa từ điện thoại?</t>
  </si>
  <si>
    <t>AI đề xuất dùng WiFi MQTT vì: điều khiển được từ xa bất kỳ đâu trên thế giới, lưu lịch sử lên cloud, là chuẩn phổ biến trong IoT.</t>
  </si>
  <si>
    <t>Tư duy phản biện: WiFi MQTT cần có internet ổn định. Nếu mạng bị mất, khóa cửa không điều khiển được — đây là rủi ro an toàn nghiêm trọng.
 Bối cảnh hóa: Khóa cửa đặt ngay cửa nhà. Người dùng luôn đứng trong vòng 10 mét khi dùng, nên phạm vi Bluetooth là quá đủ.
 Sáng tạo tổng hợp: Bluetooth HC-05 phản hồi dưới 50ms, không cần internet. WiFi MQTT mất 150–400ms và phụ thuộc vào đường truyền mạng. Với khóa cửa, độ tin cậy quan trọng hơn khả năng điều khiển từ xa.
 Quyết định: Giữ Bluetooth HC-05. AI gợi ý tốt cho hệ thống smart home phức tạp, nhưng không phù hợp với khóa cửa đơn giản cần hoạt động offline.</t>
  </si>
  <si>
    <t>Datasheet HC-05; bảng so sánh độ trễ Bluetooth vs MQTT</t>
  </si>
  <si>
    <t>GIẢI QUYẾT VẤN ĐỀ</t>
  </si>
  <si>
    <t>Lỗi đăng ký vân tay (Fingerprint Enrollment Bug)</t>
  </si>
  <si>
    <t>Khi đăng ký vân tay mới, bước quét lần 2 luôn thất bại, dẫn đến không lưu được mẫu vân tay.</t>
  </si>
  <si>
    <t>Tại sao hàm enrollFingerprint() luôn thất bại ở lần quét thứ 2? Đây là code của nhóm: [dán code vào]</t>
  </si>
  <si>
    <t>AI tìm ra lỗi: biến 'p' không được đặt lại về -1 trước vòng lặp quét lần 2. Do đó vòng lặp nghĩ là đã quét xong và bỏ qua hoàn toàn. Ngoài ra, code không nhắc người dùng nhấc ngón tay ra giữa 2 lần quét.</t>
  </si>
  <si>
    <t>Tư duy phản biện: AI chẩn đoán đúng. Kiểm tra lại code thấy đoạn xử lý lần 2 bị comment out từ lúc debug và quên bật lại.
 Bối cảnh hóa: Cảm biến AS608 cần 2 lần quét từ 2 góc hơi khác nhau để tạo mẫu vân tay tốt. Bỏ qua bước này khiến mẫu kém chất lượng, dẫn đến từ chối vân tay đúng nhiều lần.
 Sáng tạo tổng hợp: Khôi phục đoạn code bị comment, thêm lệnh 'p = -1' trước vòng lặp thứ 2, thêm delay 2 giây với thông báo LCD 'Nhấc ngón tay...'. Thử nghiệm với 5 ngón tay khác nhau.
 Quyết định: Áp dụng sửa lỗi. Tỷ lệ đăng ký thành công tăng từ ~40% lên 100%. Đây là trường hợp AI giúp nhóm phát hiện lỗi mà nhóm bỏ sót trong quá trình review code.</t>
  </si>
  <si>
    <t>Code trước và sau khi sửa; kết quả thử nghiệm: 40% → 100% tỷ lệ đăng ký thành công</t>
  </si>
  <si>
    <t>Xung đột cổng UART – Bluetooth và USB Debug</t>
  </si>
  <si>
    <t>Lệnh gửi qua Bluetooth bị nhiễu và sai dữ liệu khi cắm cáp USB vào Arduino để debug.</t>
  </si>
  <si>
    <t>HC-05 đang dùng chân D0/D1 (hardware Serial), đồng thời cũng dùng Serial để debug qua USB. Lệnh Bluetooth bị lỗi khi cắm USB. Cách sửa?</t>
  </si>
  <si>
    <t>AI gợi ý: chuyển HC-05 sang SoftwareSerial trên chân D2 và D3 để giải phóng hardware Serial cho USB. Ví dụ: SoftwareSerial BTSerial(2, 3);</t>
  </si>
  <si>
    <t>Tư duy phản biện: Ý tưởng của AI đúng về nguyên tắc, nhưng chân D2 và D3 đã được cảm biến vân tay dùng rồi (SoftwareSerial fingerSerial(2, 3) trong code hiện tại). Làm theo AI sẽ tạo ra xung đột mới.
 Bối cảnh hóa: Arduino Uno chỉ có 1 cổng hardware Serial. Nhóm có 2 thiết bị dùng serial (vân tay + Bluetooth) nên phải lên kế hoạch phân chân rất cẩn thận.
 Sáng tạo tổng hợp: Lập bảng phân chân đầy đủ — D4–D11 dùng cho bàn phím, A4–A5 dùng cho LCD I2C, D2–D3 dùng cho vân tay. Chân còn trống an toàn: D13 và A3. Chuyển HC-05 sang SoftwareSerial(13, A3).
 Quyết định: Chuyển HC-05 sang chân D13/A3. AI đưa ra hướng đúng nhưng không kiểm tra code sẵn có của nhóm trước khi gợi ý. Nhóm phải tự phân tích toàn bộ bảng phân chân.</t>
  </si>
  <si>
    <t>Bảng phân chân đầy đủ của hệ thống; sơ đồ mạch đã cập nhật</t>
  </si>
  <si>
    <t>KIỂM CHỨNG</t>
  </si>
  <si>
    <t>Lỗ hổng bảo mật – Phím A reset mật khẩu không cần xác thực</t>
  </si>
  <si>
    <t>Phát hiện ra rằng nhấn phím 'A' trên bàn phím sẽ reset mật khẩu về '1234' mà không cần nhập mật khẩu hiện tại.</t>
  </si>
  <si>
    <t>Đây có phải lỗ hổng bảo mật không? Phím A reset mật khẩu về 1234 mà không kiểm tra gì cả. Đây là code: [dán vào]</t>
  </si>
  <si>
    <t>AI xác nhận: đây là lỗ hổng bảo mật nghiêm trọng. Bất kỳ ai chạm được vào bàn phím đều có thể reset mật khẩu và mở khóa cửa. Cách sửa: yêu cầu nhập mật khẩu admin trước, giống như các phím B, C, D.</t>
  </si>
  <si>
    <t>Tư duy phản biện: Nhóm thử nghiệm thực tế — nhấn phím A khi hệ thống đang chạy, mật khẩu reset ngay lập tức. Lỗ hổng hoàn toàn có thể khai thác được.
 Bối cảnh hóa: Đây có lẽ là phím tắt được thêm vào để tiện reset trong lúc test, và bị quên không xóa đi trước khi ra sản phẩm cuối.
 Sáng tạo tổng hợp: Sửa đơn giản — chuyển logic phím A vào trong khối kiểm tra mật khẩu admin. Nhóm cũng phát hiện thêm vấn đề: khi mất điện, bộ đếm số lần nhập sai bị xóa, cho phép bypass cơ chế khóa bằng cách ngắt nguồn.
 Quyết định: Đã sửa phím A. Vấn đề bypass khi mất điện được ghi nhận là hạn chế đã biết. Hướng cải thiện tương lai: lưu số lần nhập sai vào EEPROM.</t>
  </si>
  <si>
    <t>Code trước và sau khi sửa; log thử nghiệm xác nhận lỗ hổng và bản vá</t>
  </si>
  <si>
    <t>AI bịa tài liệu tham khảo (Hallucination – Fake Citation)</t>
  </si>
  <si>
    <t>Nhóm nhờ AI gợi ý bài báo IEEE về xác thực đa lớp (vân tay + PIN) trên thiết bị IoT để đưa vào phần tài liệu tham khảo của báo cáo.</t>
  </si>
  <si>
    <t>Tìm cho tôi một bài báo IEEE về xác thực đa lớp kết hợp vân tay và mã PIN trên hệ thống nhúng hoặc IoT.</t>
  </si>
  <si>
    <t>AI gợi ý: 'Zhang et al. (2023), Multi-factor Authentication for Smart Home IoT Devices, IEEE Transactions on Consumer Electronics.' Kèm theo tóm tắt nội dung và các số liệu hiệu năng cụ thể.</t>
  </si>
  <si>
    <t>Tư duy phản biện: PHÁT HIỆN ẢO GIÁC AI. Nhóm tìm trên IEEE Xplore với đúng tiêu đề và tên tác giả — không có kết quả nào. Bài báo không tồn tại. AI đã bịa hoàn toàn.
 Bối cảnh hóa: Đây là lỗi phổ biến của AI với tài liệu học thuật — tạo ra tên bài báo, tên tác giả và tên tạp chí nghe rất thật nhưng không có thật. Nếu dùng trong báo cáo sẽ là vi phạm học thuật nghiêm trọng.
 Sáng tạo tổng hợp: Nhóm tự tìm trên IEEE Xplore với từ khóa 'fingerprint authentication IoT embedded'. Tìm được 2 bài báo thật: Abuhamad et al. (2021) trên IEEE Access và Mohsin et al. (2020) trên IEEE IoT Journal.
 Quyết định: Thay thế tài liệu giả bằng 2 bài báo đã xác minh. Quy tắc mới của nhóm: không bao giờ trích dẫn tài liệu mà chưa tự tìm và mở ra đọc trực tiếp trên cơ sở dữ liệu học thuật.</t>
  </si>
  <si>
    <t>Ảnh chụp màn hình tìm kiếm IEEE Xplore (không có kết quả cho Zhang 2023); link PDF 2 bài báo thật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</si>
  <si>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</si>
  <si>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</si>
  <si>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</si>
  <si>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</si>
  <si>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</si>
  <si>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</si>
  <si>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</si>
  <si>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</si>
  <si>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Hiểu sai bối cảnh (Context Misunderstanding)</t>
  </si>
  <si>
    <t>AI gợi ý chuyển HC-05 sang SoftwareSerial trên chân D2 và D3 để sửa xung đột UART.</t>
  </si>
  <si>
    <t>Chân D2 và D3 đã được cảm biến vân tay sử dụng trong code hiện tại. Làm theo AI sẽ tạo ra xung đột mới.</t>
  </si>
  <si>
    <t>Nhóm kiểm tra lại toàn bộ code và phát hiện dòng 'SoftwareSerial fingerSerial(2, 3)' đã chiếm D2/D3 từ trước. AI không đọc code sẵn có trước khi đề xuất.</t>
  </si>
  <si>
    <t>Lập bảng phân chân đầy đủ cho tất cả 7 thiết bị ngoại vi. Tìm ra chân D13 và A3 là 2 chân còn trống an toàn. Chuyển HC-05 sang SoftwareSerial(13, A3).</t>
  </si>
  <si>
    <t>Bịa tài liệu tham khảo (Fabrication – Fake Citation)</t>
  </si>
  <si>
    <t>AI nói rằng bài báo 'Zhang et al. (2023), Multi-factor Authentication for Smart Home IoT Devices, IEEE Transactions on Consumer Electronics' tồn tại và có các số liệu hiệu năng cụ thể.</t>
  </si>
  <si>
    <t>Bài báo này không tồn tại. Tìm kiếm trên IEEE Xplore với đúng tiêu đề và tên tác giả không ra kết quả nào.</t>
  </si>
  <si>
    <t>Nhóm tự tìm trên IEEE Xplore, Google Scholar và ResearchGate với tiêu đề đầy đủ và rút gọn — đều không có kết quả. Đây là dạng ảo giác phổ biến nhất của AI với tài liệu học thuật.</t>
  </si>
  <si>
    <t>Tìm thủ công trên IEEE Xplore và xác minh được 2 bài báo thật liên quan. Đặt quy tắc nhóm: mọi tài liệu tham khảo phải được tự tìm và mở ra đọc trên cơ sở dữ liệu học thuật trước khi trích dẫn.</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</si>
  <si>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</si>
  <si>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</si>
  <si>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</si>
  <si>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</si>
  <si>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</si>
  <si>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</si>
  <si>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</si>
  <si>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</si>
  <si>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</si>
  <si>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</si>
  <si>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</si>
  <si>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</si>
  <si>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</si>
  <si>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</si>
  <si>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</si>
  <si>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</si>
  <si>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</si>
  <si>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</si>
  <si>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</si>
  <si>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awd</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</si>
  <si>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</si>
  <si>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</si>
  <si>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</si>
  <si>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</si>
  <si>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</si>
  <si>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</si>
  <si>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</si>
  <si>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</si>
  <si>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</si>
  <si>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</si>
  <si>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</si>
  <si>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</si>
  <si>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</si>
  <si>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</si>
  <si>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</si>
  <si>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</si>
  <si>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</si>
  <si>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</si>
  <si>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</si>
  <si>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</si>
  <si>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</si>
  <si>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</si>
  <si>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</si>
  <si>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</si>
  <si>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</si>
  <si>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</si>
  <si>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</si>
  <si>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</si>
  <si>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</si>
  <si>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</si>
  <si>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</si>
  <si>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</si>
  <si>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003</t>
  </si>
</sst>
</file>

<file path=xl/styles.xml><?xml version="1.0" encoding="utf-8"?>
<styleSheet xmlns="http://schemas.openxmlformats.org/spreadsheetml/2006/main">
  <numFmts count="5">
    <numFmt numFmtId="176" formatCode="0.0%"/>
    <numFmt numFmtId="42" formatCode="_(&quot;$&quot;* #,##0_);_(&quot;$&quot;* \(#,##0\);_(&quot;$&quot;* &quot;-&quot;_);_(@_)"/>
    <numFmt numFmtId="177" formatCode="_ * #,##0.00_ ;_ * \-#,##0.00_ ;_ * &quot;-&quot;??_ ;_ @_ "/>
    <numFmt numFmtId="178" formatCode="_ * #,##0_ ;_ * \-#,##0_ ;_ * &quot;-&quot;_ ;_ @_ "/>
    <numFmt numFmtId="44" formatCode="_(&quot;$&quot;* #,##0.00_);_(&quot;$&quot;* \(#,##0.00\);_(&quot;$&quot;* &quot;-&quot;??_);_(@_)"/>
  </numFmts>
  <fonts count="36">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color theme="1"/>
      <name val="Calibri"/>
      <charset val="134"/>
      <scheme val="minor"/>
    </font>
    <font>
      <b/>
      <sz val="12"/>
      <color rgb="FFFF0000"/>
      <name val="Calibri"/>
      <charset val="134"/>
      <scheme val="minor"/>
    </font>
    <font>
      <sz val="11"/>
      <color rgb="FFFF0000"/>
      <name val="Calibri"/>
      <charset val="134"/>
      <scheme val="minor"/>
    </font>
    <font>
      <i/>
      <sz val="10"/>
      <color theme="1"/>
      <name val="Calibri"/>
      <charset val="134"/>
      <scheme val="minor"/>
    </font>
    <font>
      <b/>
      <sz val="11"/>
      <color theme="1"/>
      <name val="Calibri"/>
      <charset val="134"/>
      <scheme val="minor"/>
    </font>
    <font>
      <sz val="11"/>
      <color theme="1"/>
      <name val="Calibri"/>
      <charset val="134"/>
    </font>
    <font>
      <b/>
      <sz val="16"/>
      <color rgb="FFFF0000"/>
      <name val="Calibri"/>
      <charset val="134"/>
      <scheme val="minor"/>
    </font>
    <font>
      <b/>
      <i/>
      <sz val="10"/>
      <color rgb="FFFF0000"/>
      <name val="Calibri"/>
      <charset val="134"/>
      <scheme val="minor"/>
    </font>
    <font>
      <b/>
      <sz val="11"/>
      <color theme="1"/>
      <name val="Calibri"/>
      <charset val="134"/>
    </font>
    <font>
      <sz val="11"/>
      <color rgb="FF000000"/>
      <name val="Calibri"/>
      <charset val="134"/>
    </font>
    <font>
      <b/>
      <sz val="11"/>
      <color rgb="FF000000"/>
      <name val="Calibri"/>
      <charset val="134"/>
    </font>
    <font>
      <i/>
      <sz val="9"/>
      <color rgb="FF666666"/>
      <name val="Calibri"/>
      <charset val="134"/>
      <scheme val="minor"/>
    </font>
    <font>
      <u/>
      <sz val="11"/>
      <color rgb="FF800080"/>
      <name val="Calibri"/>
      <charset val="0"/>
      <scheme val="minor"/>
    </font>
    <font>
      <sz val="11"/>
      <color theme="0"/>
      <name val="Calibri"/>
      <charset val="0"/>
      <scheme val="minor"/>
    </font>
    <font>
      <sz val="11"/>
      <color theme="1"/>
      <name val="Calibri"/>
      <charset val="0"/>
      <scheme val="minor"/>
    </font>
    <font>
      <b/>
      <sz val="11"/>
      <color theme="1"/>
      <name val="Calibri"/>
      <charset val="0"/>
      <scheme val="minor"/>
    </font>
    <font>
      <sz val="11"/>
      <color rgb="FF3F3F76"/>
      <name val="Calibri"/>
      <charset val="0"/>
      <scheme val="minor"/>
    </font>
    <font>
      <i/>
      <sz val="11"/>
      <color rgb="FF7F7F7F"/>
      <name val="Calibri"/>
      <charset val="0"/>
      <scheme val="minor"/>
    </font>
    <font>
      <u/>
      <sz val="11"/>
      <color rgb="FF0000FF"/>
      <name val="Calibri"/>
      <charset val="0"/>
      <scheme val="minor"/>
    </font>
    <font>
      <sz val="11"/>
      <color rgb="FFFF0000"/>
      <name val="Calibri"/>
      <charset val="0"/>
      <scheme val="minor"/>
    </font>
    <font>
      <b/>
      <sz val="15"/>
      <color theme="3"/>
      <name val="Calibri"/>
      <charset val="134"/>
      <scheme val="minor"/>
    </font>
    <font>
      <b/>
      <sz val="11"/>
      <color rgb="FFFFFFFF"/>
      <name val="Calibri"/>
      <charset val="0"/>
      <scheme val="minor"/>
    </font>
    <font>
      <b/>
      <sz val="13"/>
      <color theme="3"/>
      <name val="Calibri"/>
      <charset val="134"/>
      <scheme val="minor"/>
    </font>
    <font>
      <b/>
      <sz val="18"/>
      <color theme="3"/>
      <name val="Calibri"/>
      <charset val="134"/>
      <scheme val="minor"/>
    </font>
    <font>
      <b/>
      <sz val="11"/>
      <color theme="3"/>
      <name val="Calibri"/>
      <charset val="134"/>
      <scheme val="minor"/>
    </font>
    <font>
      <sz val="11"/>
      <color rgb="FF9C0006"/>
      <name val="Calibri"/>
      <charset val="0"/>
      <scheme val="minor"/>
    </font>
    <font>
      <sz val="11"/>
      <color rgb="FF006100"/>
      <name val="Calibri"/>
      <charset val="0"/>
      <scheme val="minor"/>
    </font>
    <font>
      <b/>
      <sz val="11"/>
      <color rgb="FFFA7D00"/>
      <name val="Calibri"/>
      <charset val="0"/>
      <scheme val="minor"/>
    </font>
    <font>
      <b/>
      <sz val="11"/>
      <color rgb="FF3F3F3F"/>
      <name val="Calibri"/>
      <charset val="0"/>
      <scheme val="minor"/>
    </font>
    <font>
      <sz val="11"/>
      <color rgb="FFFA7D00"/>
      <name val="Calibri"/>
      <charset val="0"/>
      <scheme val="minor"/>
    </font>
    <font>
      <sz val="11"/>
      <color rgb="FF9C6500"/>
      <name val="Calibri"/>
      <charset val="0"/>
      <scheme val="minor"/>
    </font>
  </fonts>
  <fills count="37">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FF"/>
        <bgColor rgb="FFFFFFFF"/>
      </patternFill>
    </fill>
    <fill>
      <patternFill patternType="solid">
        <fgColor rgb="FFFFFF00"/>
        <bgColor rgb="FFFFFF00"/>
      </patternFill>
    </fill>
    <fill>
      <patternFill patternType="solid">
        <fgColor rgb="FFFFFFCC"/>
        <bgColor indexed="64"/>
      </patternFill>
    </fill>
    <fill>
      <patternFill patternType="solid">
        <fgColor theme="8"/>
        <bgColor indexed="64"/>
      </patternFill>
    </fill>
    <fill>
      <patternFill patternType="solid">
        <fgColor theme="5" tint="0.399975585192419"/>
        <bgColor indexed="64"/>
      </patternFill>
    </fill>
    <fill>
      <patternFill patternType="solid">
        <fgColor theme="4" tint="0.599993896298105"/>
        <bgColor indexed="64"/>
      </patternFill>
    </fill>
    <fill>
      <patternFill patternType="solid">
        <fgColor rgb="FFFFCC99"/>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bgColor indexed="64"/>
      </patternFill>
    </fill>
    <fill>
      <patternFill patternType="solid">
        <fgColor theme="6"/>
        <bgColor indexed="64"/>
      </patternFill>
    </fill>
    <fill>
      <patternFill patternType="solid">
        <fgColor theme="8" tint="0.799981688894314"/>
        <bgColor indexed="64"/>
      </patternFill>
    </fill>
    <fill>
      <patternFill patternType="solid">
        <fgColor theme="7" tint="0.399975585192419"/>
        <bgColor indexed="64"/>
      </patternFill>
    </fill>
    <fill>
      <patternFill patternType="solid">
        <fgColor rgb="FFA5A5A5"/>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rgb="FFFFC7CE"/>
        <bgColor indexed="64"/>
      </patternFill>
    </fill>
    <fill>
      <patternFill patternType="solid">
        <fgColor theme="5"/>
        <bgColor indexed="64"/>
      </patternFill>
    </fill>
    <fill>
      <patternFill patternType="solid">
        <fgColor theme="6" tint="0.399975585192419"/>
        <bgColor indexed="64"/>
      </patternFill>
    </fill>
    <fill>
      <patternFill patternType="solid">
        <fgColor theme="4"/>
        <bgColor indexed="64"/>
      </patternFill>
    </fill>
    <fill>
      <patternFill patternType="solid">
        <fgColor rgb="FFC6EFCE"/>
        <bgColor indexed="64"/>
      </patternFill>
    </fill>
    <fill>
      <patternFill patternType="solid">
        <fgColor rgb="FFF2F2F2"/>
        <bgColor indexed="64"/>
      </patternFill>
    </fill>
    <fill>
      <patternFill patternType="solid">
        <fgColor theme="7"/>
        <bgColor indexed="64"/>
      </patternFill>
    </fill>
    <fill>
      <patternFill patternType="solid">
        <fgColor theme="4" tint="0.799981688894314"/>
        <bgColor indexed="64"/>
      </patternFill>
    </fill>
    <fill>
      <patternFill patternType="solid">
        <fgColor rgb="FFFFEB9C"/>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theme="7" tint="0.799981688894314"/>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49">
    <xf numFmtId="0" fontId="0" fillId="0" borderId="0"/>
    <xf numFmtId="0" fontId="19" fillId="9" borderId="0" applyNumberFormat="0" applyBorder="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23" fillId="0" borderId="0" applyNumberFormat="0" applyFill="0" applyBorder="0" applyAlignment="0" applyProtection="0">
      <alignment vertical="center"/>
    </xf>
    <xf numFmtId="0" fontId="18" fillId="16" borderId="0" applyNumberFormat="0" applyBorder="0" applyAlignment="0" applyProtection="0">
      <alignment vertical="center"/>
    </xf>
    <xf numFmtId="0" fontId="17" fillId="0" borderId="0" applyNumberFormat="0" applyFill="0" applyBorder="0" applyAlignment="0" applyProtection="0">
      <alignment vertical="center"/>
    </xf>
    <xf numFmtId="0" fontId="26" fillId="17" borderId="7" applyNumberFormat="0" applyAlignment="0" applyProtection="0">
      <alignment vertical="center"/>
    </xf>
    <xf numFmtId="0" fontId="27" fillId="0" borderId="6" applyNumberFormat="0" applyFill="0" applyAlignment="0" applyProtection="0">
      <alignment vertical="center"/>
    </xf>
    <xf numFmtId="0" fontId="0" fillId="6" borderId="3" applyNumberFormat="0" applyFont="0" applyAlignment="0" applyProtection="0">
      <alignment vertical="center"/>
    </xf>
    <xf numFmtId="0" fontId="19" fillId="20" borderId="0" applyNumberFormat="0" applyBorder="0" applyAlignment="0" applyProtection="0">
      <alignment vertical="center"/>
    </xf>
    <xf numFmtId="0" fontId="24" fillId="0" borderId="0" applyNumberFormat="0" applyFill="0" applyBorder="0" applyAlignment="0" applyProtection="0">
      <alignment vertical="center"/>
    </xf>
    <xf numFmtId="0" fontId="19" fillId="22" borderId="0" applyNumberFormat="0" applyBorder="0" applyAlignment="0" applyProtection="0">
      <alignment vertical="center"/>
    </xf>
    <xf numFmtId="0" fontId="28"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5" fillId="0" borderId="6" applyNumberFormat="0" applyFill="0" applyAlignment="0" applyProtection="0">
      <alignment vertical="center"/>
    </xf>
    <xf numFmtId="0" fontId="29" fillId="0" borderId="8" applyNumberFormat="0" applyFill="0" applyAlignment="0" applyProtection="0">
      <alignment vertical="center"/>
    </xf>
    <xf numFmtId="0" fontId="29" fillId="0" borderId="0" applyNumberFormat="0" applyFill="0" applyBorder="0" applyAlignment="0" applyProtection="0">
      <alignment vertical="center"/>
    </xf>
    <xf numFmtId="0" fontId="21" fillId="10" borderId="5" applyNumberFormat="0" applyAlignment="0" applyProtection="0">
      <alignment vertical="center"/>
    </xf>
    <xf numFmtId="0" fontId="18" fillId="26" borderId="0" applyNumberFormat="0" applyBorder="0" applyAlignment="0" applyProtection="0">
      <alignment vertical="center"/>
    </xf>
    <xf numFmtId="0" fontId="31" fillId="28" borderId="0" applyNumberFormat="0" applyBorder="0" applyAlignment="0" applyProtection="0">
      <alignment vertical="center"/>
    </xf>
    <xf numFmtId="0" fontId="33" fillId="29" borderId="9" applyNumberFormat="0" applyAlignment="0" applyProtection="0">
      <alignment vertical="center"/>
    </xf>
    <xf numFmtId="0" fontId="19" fillId="31" borderId="0" applyNumberFormat="0" applyBorder="0" applyAlignment="0" applyProtection="0">
      <alignment vertical="center"/>
    </xf>
    <xf numFmtId="0" fontId="32" fillId="29" borderId="5" applyNumberFormat="0" applyAlignment="0" applyProtection="0">
      <alignment vertical="center"/>
    </xf>
    <xf numFmtId="0" fontId="34" fillId="0" borderId="10" applyNumberFormat="0" applyFill="0" applyAlignment="0" applyProtection="0">
      <alignment vertical="center"/>
    </xf>
    <xf numFmtId="0" fontId="20" fillId="0" borderId="4" applyNumberFormat="0" applyFill="0" applyAlignment="0" applyProtection="0">
      <alignment vertical="center"/>
    </xf>
    <xf numFmtId="0" fontId="30" fillId="24" borderId="0" applyNumberFormat="0" applyBorder="0" applyAlignment="0" applyProtection="0">
      <alignment vertical="center"/>
    </xf>
    <xf numFmtId="0" fontId="35" fillId="32" borderId="0" applyNumberFormat="0" applyBorder="0" applyAlignment="0" applyProtection="0">
      <alignment vertical="center"/>
    </xf>
    <xf numFmtId="0" fontId="18" fillId="27" borderId="0" applyNumberFormat="0" applyBorder="0" applyAlignment="0" applyProtection="0">
      <alignment vertical="center"/>
    </xf>
    <xf numFmtId="0" fontId="19" fillId="15" borderId="0" applyNumberFormat="0" applyBorder="0" applyAlignment="0" applyProtection="0">
      <alignment vertical="center"/>
    </xf>
    <xf numFmtId="0" fontId="18" fillId="35" borderId="0" applyNumberFormat="0" applyBorder="0" applyAlignment="0" applyProtection="0">
      <alignment vertical="center"/>
    </xf>
    <xf numFmtId="0" fontId="18" fillId="25"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8" fillId="8" borderId="0" applyNumberFormat="0" applyBorder="0" applyAlignment="0" applyProtection="0">
      <alignment vertical="center"/>
    </xf>
    <xf numFmtId="0" fontId="18" fillId="14" borderId="0" applyNumberFormat="0" applyBorder="0" applyAlignment="0" applyProtection="0">
      <alignment vertical="center"/>
    </xf>
    <xf numFmtId="0" fontId="19" fillId="34" borderId="0" applyNumberFormat="0" applyBorder="0" applyAlignment="0" applyProtection="0">
      <alignment vertical="center"/>
    </xf>
    <xf numFmtId="0" fontId="18" fillId="30"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8" fillId="7" borderId="0" applyNumberFormat="0" applyBorder="0" applyAlignment="0" applyProtection="0">
      <alignment vertical="center"/>
    </xf>
    <xf numFmtId="0" fontId="19" fillId="12" borderId="0" applyNumberFormat="0" applyBorder="0" applyAlignment="0" applyProtection="0">
      <alignment vertical="center"/>
    </xf>
    <xf numFmtId="0" fontId="18" fillId="23" borderId="0" applyNumberFormat="0" applyBorder="0" applyAlignment="0" applyProtection="0">
      <alignment vertical="center"/>
    </xf>
    <xf numFmtId="0" fontId="18" fillId="13" borderId="0" applyNumberFormat="0" applyBorder="0" applyAlignment="0" applyProtection="0">
      <alignment vertical="center"/>
    </xf>
    <xf numFmtId="0" fontId="19" fillId="18" borderId="0" applyNumberFormat="0" applyBorder="0" applyAlignment="0" applyProtection="0">
      <alignment vertical="center"/>
    </xf>
    <xf numFmtId="0" fontId="18" fillId="33" borderId="0" applyNumberFormat="0" applyBorder="0" applyAlignment="0" applyProtection="0">
      <alignment vertical="center"/>
    </xf>
  </cellStyleXfs>
  <cellXfs count="27">
    <xf numFmtId="0" fontId="0" fillId="0" borderId="0" xfId="0" applyFont="1" applyAlignment="1"/>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10" fillId="0" borderId="1" xfId="0" applyFont="1" applyBorder="1" applyAlignment="1">
      <alignment horizontal="center" vertical="center" wrapText="1"/>
    </xf>
    <xf numFmtId="0" fontId="10" fillId="0" borderId="1" xfId="0" applyFont="1" applyBorder="1" applyAlignment="1">
      <alignment horizontal="left" vertical="top" wrapText="1"/>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4" borderId="2" xfId="0" applyFont="1" applyFill="1" applyBorder="1" applyAlignment="1">
      <alignment vertical="top" wrapText="1"/>
    </xf>
    <xf numFmtId="0" fontId="14" fillId="4" borderId="2" xfId="0" applyFont="1" applyFill="1" applyBorder="1" applyAlignment="1">
      <alignment vertical="top" wrapText="1"/>
    </xf>
    <xf numFmtId="0" fontId="2" fillId="0" borderId="0" xfId="0" applyFont="1" applyAlignment="1">
      <alignment horizontal="left" vertical="top" wrapText="1"/>
    </xf>
    <xf numFmtId="0" fontId="15" fillId="4" borderId="1" xfId="0" applyFont="1" applyFill="1" applyBorder="1" applyAlignment="1">
      <alignment horizontal="left" vertical="top" wrapText="1"/>
    </xf>
    <xf numFmtId="0" fontId="15" fillId="4" borderId="2" xfId="0" applyFont="1" applyFill="1" applyBorder="1" applyAlignment="1">
      <alignment vertical="top"/>
    </xf>
    <xf numFmtId="0" fontId="9" fillId="0" borderId="0" xfId="0" applyFont="1"/>
    <xf numFmtId="0" fontId="10" fillId="5" borderId="0" xfId="0" applyFont="1" applyFill="1" applyBorder="1" applyAlignment="1"/>
    <xf numFmtId="176" fontId="10" fillId="0" borderId="0" xfId="0" applyNumberFormat="1" applyFont="1"/>
    <xf numFmtId="0" fontId="16" fillId="0" borderId="0" xfId="0" applyFont="1"/>
    <xf numFmtId="0" fontId="10" fillId="5" borderId="1" xfId="0" applyFont="1" applyFill="1" applyBorder="1" applyAlignment="1">
      <alignment horizontal="center" vertical="center" wrapText="1"/>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F999"/>
  <sheetViews>
    <sheetView workbookViewId="0">
      <selection activeCell="A1" sqref="A1:F1"/>
    </sheetView>
  </sheetViews>
  <sheetFormatPr defaultColWidth="14.4285714285714" defaultRowHeight="15" customHeight="1" outlineLevelCol="5"/>
  <cols>
    <col min="1" max="1" width="25" customWidth="1"/>
    <col min="2" max="2" width="40" customWidth="1"/>
    <col min="3" max="3" width="15" customWidth="1"/>
    <col min="4" max="4" width="30" customWidth="1"/>
    <col min="5" max="6" width="20" customWidth="1"/>
    <col min="7" max="26" width="8.71428571428571" customWidth="1"/>
  </cols>
  <sheetData>
    <row r="1" ht="21" spans="1:1">
      <c r="A1" s="1" t="s">
        <v>0</v>
      </c>
    </row>
    <row r="3" ht="18.75" spans="1:1">
      <c r="A3" s="3" t="s">
        <v>1</v>
      </c>
    </row>
    <row r="4" ht="29.25" customHeight="1" spans="1:3">
      <c r="A4" s="22" t="s">
        <v>2</v>
      </c>
      <c r="C4" t="s">
        <v>3</v>
      </c>
    </row>
    <row r="5" spans="1:3">
      <c r="A5" s="22" t="s">
        <v>4</v>
      </c>
      <c r="C5" t="s">
        <v>5</v>
      </c>
    </row>
    <row r="6" spans="1:3">
      <c r="A6" s="22" t="s">
        <v>6</v>
      </c>
      <c r="C6" t="s">
        <v>7</v>
      </c>
    </row>
    <row r="7" spans="1:3">
      <c r="A7" s="22" t="s">
        <v>8</v>
      </c>
      <c r="C7" t="s">
        <v>9</v>
      </c>
    </row>
    <row r="9" ht="18.75" spans="1:1">
      <c r="A9" s="3" t="s">
        <v>10</v>
      </c>
    </row>
    <row r="10" spans="1:3">
      <c r="A10" s="22" t="s">
        <v>11</v>
      </c>
      <c r="C10" t="s">
        <v>12</v>
      </c>
    </row>
    <row r="11" spans="1:3">
      <c r="A11" s="22" t="s">
        <v>13</v>
      </c>
      <c r="C11" s="23">
        <v>9</v>
      </c>
    </row>
    <row r="12" spans="1:5">
      <c r="A12" s="22" t="s">
        <v>14</v>
      </c>
      <c r="C12" s="24" t="e">
        <f>C11/C10</f>
        <v>#VALUE!</v>
      </c>
      <c r="E12" s="25" t="s">
        <v>15</v>
      </c>
    </row>
    <row r="13" spans="1:3">
      <c r="A13" s="22" t="s">
        <v>16</v>
      </c>
      <c r="C13" s="23">
        <v>1</v>
      </c>
    </row>
    <row r="15" ht="18.75" spans="1:1">
      <c r="A15" s="3" t="s">
        <v>17</v>
      </c>
    </row>
    <row r="16" spans="1:4">
      <c r="A16" s="4" t="s">
        <v>18</v>
      </c>
      <c r="B16" s="4" t="s">
        <v>19</v>
      </c>
      <c r="C16" s="4" t="s">
        <v>19</v>
      </c>
      <c r="D16" s="4" t="s">
        <v>20</v>
      </c>
    </row>
    <row r="17" ht="30" spans="1:4">
      <c r="A17" s="14" t="s">
        <v>21</v>
      </c>
      <c r="B17" s="14" t="s">
        <v>22</v>
      </c>
      <c r="C17" s="14" t="s">
        <v>23</v>
      </c>
      <c r="D17" s="14" t="s">
        <v>24</v>
      </c>
    </row>
    <row r="18" spans="1:4">
      <c r="A18" s="14" t="s">
        <v>25</v>
      </c>
      <c r="B18" s="14" t="s">
        <v>26</v>
      </c>
      <c r="C18" s="14" t="s">
        <v>27</v>
      </c>
      <c r="D18" s="14" t="s">
        <v>28</v>
      </c>
    </row>
    <row r="19" spans="1:4">
      <c r="A19" s="14" t="s">
        <v>29</v>
      </c>
      <c r="B19" s="14"/>
      <c r="C19" s="14"/>
      <c r="D19" s="14"/>
    </row>
    <row r="20" ht="15.75" customHeight="1"/>
    <row r="21" ht="15.75" customHeight="1" spans="1:1">
      <c r="A21" s="3" t="s">
        <v>30</v>
      </c>
    </row>
    <row r="22" ht="15.75" customHeight="1" spans="1:3">
      <c r="A22" s="4" t="s">
        <v>31</v>
      </c>
      <c r="B22" s="4" t="s">
        <v>32</v>
      </c>
      <c r="C22" s="4" t="s">
        <v>33</v>
      </c>
    </row>
    <row r="23" ht="15.75" customHeight="1" spans="1:3">
      <c r="A23" s="14" t="s">
        <v>34</v>
      </c>
      <c r="B23" s="26">
        <v>2</v>
      </c>
      <c r="C23" s="13" t="s">
        <v>35</v>
      </c>
    </row>
    <row r="24" ht="15.75" customHeight="1" spans="1:3">
      <c r="A24" s="14" t="s">
        <v>36</v>
      </c>
      <c r="B24" s="26">
        <v>3</v>
      </c>
      <c r="C24" s="13" t="s">
        <v>35</v>
      </c>
    </row>
    <row r="25" ht="15.75" customHeight="1" spans="1:3">
      <c r="A25" s="14" t="s">
        <v>37</v>
      </c>
      <c r="B25" s="26">
        <v>2</v>
      </c>
      <c r="C25" s="13" t="s">
        <v>35</v>
      </c>
    </row>
    <row r="26" ht="15.75" customHeight="1" spans="1:3">
      <c r="A26" s="14" t="s">
        <v>38</v>
      </c>
      <c r="B26" s="26">
        <v>3</v>
      </c>
      <c r="C26" s="13" t="s">
        <v>35</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pageMargins left="0.7" right="0.7" top="0.75" bottom="0.75" header="0" footer="0"/>
  <pageSetup paperSize="9"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00"/>
  <sheetViews>
    <sheetView workbookViewId="0">
      <selection activeCell="A1" sqref="A1:H1"/>
    </sheetView>
  </sheetViews>
  <sheetFormatPr defaultColWidth="14.4285714285714" defaultRowHeight="15" customHeight="1" outlineLevelCol="7"/>
  <cols>
    <col min="1" max="1" width="8" customWidth="1"/>
    <col min="2" max="3" width="18" customWidth="1"/>
    <col min="4" max="4" width="25" customWidth="1"/>
    <col min="5" max="5" width="30" customWidth="1"/>
    <col min="6" max="6" width="35" customWidth="1"/>
    <col min="7" max="7" width="65.4285714285714" customWidth="1"/>
    <col min="8" max="8" width="20" customWidth="1"/>
    <col min="9" max="26" width="8.71428571428571" customWidth="1"/>
  </cols>
  <sheetData>
    <row r="1" ht="21" spans="1:1">
      <c r="A1" s="1" t="s">
        <v>39</v>
      </c>
    </row>
    <row r="2" ht="30" customHeight="1" spans="1:1">
      <c r="A2" s="19" t="s">
        <v>40</v>
      </c>
    </row>
    <row r="3" ht="39.75" customHeight="1" spans="1:8">
      <c r="A3" s="4" t="s">
        <v>41</v>
      </c>
      <c r="B3" s="4" t="s">
        <v>42</v>
      </c>
      <c r="C3" s="4" t="s">
        <v>43</v>
      </c>
      <c r="D3" s="4" t="s">
        <v>44</v>
      </c>
      <c r="E3" s="4" t="s">
        <v>45</v>
      </c>
      <c r="F3" s="4" t="s">
        <v>46</v>
      </c>
      <c r="G3" s="4" t="s">
        <v>47</v>
      </c>
      <c r="H3" s="4" t="s">
        <v>48</v>
      </c>
    </row>
    <row r="4" ht="99.75" customHeight="1" spans="1:8">
      <c r="A4" s="14" t="s">
        <v>49</v>
      </c>
      <c r="B4" s="20" t="s">
        <v>50</v>
      </c>
      <c r="C4" s="18" t="s">
        <v>51</v>
      </c>
      <c r="D4" s="18" t="s">
        <v>52</v>
      </c>
      <c r="E4" s="18" t="s">
        <v>53</v>
      </c>
      <c r="F4" s="18" t="s">
        <v>54</v>
      </c>
      <c r="G4" s="18" t="s">
        <v>55</v>
      </c>
      <c r="H4" s="18" t="s">
        <v>56</v>
      </c>
    </row>
    <row r="5" ht="99.75" customHeight="1" spans="1:8">
      <c r="A5" s="14" t="s">
        <v>57</v>
      </c>
      <c r="B5" s="21" t="s">
        <v>58</v>
      </c>
      <c r="C5" s="18" t="s">
        <v>59</v>
      </c>
      <c r="D5" s="18" t="s">
        <v>60</v>
      </c>
      <c r="E5" s="18" t="s">
        <v>61</v>
      </c>
      <c r="F5" s="18" t="s">
        <v>62</v>
      </c>
      <c r="G5" s="18" t="s">
        <v>63</v>
      </c>
      <c r="H5" s="18" t="s">
        <v>64</v>
      </c>
    </row>
    <row r="6" ht="99.75" customHeight="1" spans="1:8">
      <c r="A6" s="14">
        <v>3</v>
      </c>
      <c r="B6" s="21" t="s">
        <v>65</v>
      </c>
      <c r="C6" s="18" t="s">
        <v>66</v>
      </c>
      <c r="D6" s="18" t="s">
        <v>67</v>
      </c>
      <c r="E6" s="18" t="s">
        <v>68</v>
      </c>
      <c r="F6" s="18" t="s">
        <v>69</v>
      </c>
      <c r="G6" s="18" t="s">
        <v>70</v>
      </c>
      <c r="H6" s="18" t="s">
        <v>71</v>
      </c>
    </row>
    <row r="7" ht="79.5" customHeight="1" spans="1:8">
      <c r="A7" s="14">
        <v>4</v>
      </c>
      <c r="B7" s="21" t="s">
        <v>65</v>
      </c>
      <c r="C7" s="18" t="s">
        <v>72</v>
      </c>
      <c r="D7" s="18" t="s">
        <v>73</v>
      </c>
      <c r="E7" s="18" t="s">
        <v>74</v>
      </c>
      <c r="F7" s="18" t="s">
        <v>75</v>
      </c>
      <c r="G7" s="18" t="s">
        <v>76</v>
      </c>
      <c r="H7" s="18" t="s">
        <v>77</v>
      </c>
    </row>
    <row r="8" ht="79.5" customHeight="1" spans="1:8">
      <c r="A8" s="14">
        <v>5</v>
      </c>
      <c r="B8" s="21" t="s">
        <v>78</v>
      </c>
      <c r="C8" s="18" t="s">
        <v>79</v>
      </c>
      <c r="D8" s="18" t="s">
        <v>80</v>
      </c>
      <c r="E8" s="18" t="s">
        <v>81</v>
      </c>
      <c r="F8" s="18" t="s">
        <v>82</v>
      </c>
      <c r="G8" s="18" t="s">
        <v>83</v>
      </c>
      <c r="H8" s="18" t="s">
        <v>84</v>
      </c>
    </row>
    <row r="9" ht="79.5" customHeight="1" spans="1:8">
      <c r="A9" s="14">
        <v>6</v>
      </c>
      <c r="B9" s="21" t="s">
        <v>78</v>
      </c>
      <c r="C9" s="18" t="s">
        <v>85</v>
      </c>
      <c r="D9" s="18" t="s">
        <v>86</v>
      </c>
      <c r="E9" s="18" t="s">
        <v>87</v>
      </c>
      <c r="F9" s="18" t="s">
        <v>88</v>
      </c>
      <c r="G9" s="18" t="s">
        <v>89</v>
      </c>
      <c r="H9" s="18" t="s">
        <v>90</v>
      </c>
    </row>
    <row r="10" ht="79.5" customHeight="1" spans="1:8">
      <c r="A10" s="14"/>
      <c r="B10" s="14"/>
      <c r="C10" s="14"/>
      <c r="D10" s="14"/>
      <c r="E10" s="14"/>
      <c r="F10" s="14"/>
      <c r="G10" s="14"/>
      <c r="H10" s="14"/>
    </row>
    <row r="11" ht="79.5" customHeight="1" spans="1:8">
      <c r="A11" s="14"/>
      <c r="B11" s="14"/>
      <c r="C11" s="14"/>
      <c r="D11" s="14"/>
      <c r="E11" s="14"/>
      <c r="F11" s="14"/>
      <c r="G11" s="14"/>
      <c r="H11" s="14"/>
    </row>
    <row r="12" ht="79.5" customHeight="1" spans="1:8">
      <c r="A12" s="14"/>
      <c r="B12" s="14"/>
      <c r="C12" s="14"/>
      <c r="D12" s="14"/>
      <c r="E12" s="14"/>
      <c r="F12" s="14"/>
      <c r="G12" s="14"/>
      <c r="H12" s="14"/>
    </row>
    <row r="13" ht="79.5" customHeight="1" spans="1:8">
      <c r="A13" s="14"/>
      <c r="B13" s="14"/>
      <c r="C13" s="14"/>
      <c r="D13" s="14"/>
      <c r="E13" s="14"/>
      <c r="F13" s="14"/>
      <c r="G13" s="14"/>
      <c r="H13" s="14"/>
    </row>
    <row r="14" ht="79.5" customHeight="1" spans="1:8">
      <c r="A14" s="14"/>
      <c r="B14" s="14"/>
      <c r="C14" s="14"/>
      <c r="D14" s="14"/>
      <c r="E14" s="14"/>
      <c r="F14" s="14"/>
      <c r="G14" s="14"/>
      <c r="H14" s="14"/>
    </row>
    <row r="15" ht="79.5" customHeight="1" spans="1:8">
      <c r="A15" s="14"/>
      <c r="B15" s="14"/>
      <c r="C15" s="14"/>
      <c r="D15" s="14"/>
      <c r="E15" s="14"/>
      <c r="F15" s="14"/>
      <c r="G15" s="14"/>
      <c r="H15" s="14"/>
    </row>
    <row r="16" ht="79.5" customHeight="1" spans="1:8">
      <c r="A16" s="14"/>
      <c r="B16" s="14"/>
      <c r="C16" s="14"/>
      <c r="D16" s="14"/>
      <c r="E16" s="14"/>
      <c r="F16" s="14"/>
      <c r="G16" s="14"/>
      <c r="H16" s="14"/>
    </row>
    <row r="17" ht="79.5" customHeight="1" spans="1:8">
      <c r="A17" s="14"/>
      <c r="B17" s="14"/>
      <c r="C17" s="14"/>
      <c r="D17" s="14"/>
      <c r="E17" s="14"/>
      <c r="F17" s="14"/>
      <c r="G17" s="14"/>
      <c r="H17" s="14"/>
    </row>
    <row r="18" ht="79.5" customHeight="1" spans="1:8">
      <c r="A18" s="14"/>
      <c r="B18" s="14"/>
      <c r="C18" s="14"/>
      <c r="D18" s="14"/>
      <c r="E18" s="14"/>
      <c r="F18" s="14"/>
      <c r="G18" s="14"/>
      <c r="H18" s="14"/>
    </row>
    <row r="19" ht="79.5" customHeight="1" spans="1:8">
      <c r="A19" s="14"/>
      <c r="B19" s="14"/>
      <c r="C19" s="14"/>
      <c r="D19" s="14"/>
      <c r="E19" s="14"/>
      <c r="F19" s="14"/>
      <c r="G19" s="14"/>
      <c r="H19" s="14"/>
    </row>
    <row r="20" ht="79.5" customHeight="1" spans="1:8">
      <c r="A20" s="14"/>
      <c r="B20" s="14"/>
      <c r="C20" s="14"/>
      <c r="D20" s="14"/>
      <c r="E20" s="14"/>
      <c r="F20" s="14"/>
      <c r="G20" s="14"/>
      <c r="H20" s="14"/>
    </row>
    <row r="21" ht="79.5" customHeight="1" spans="1:8">
      <c r="A21" s="14"/>
      <c r="B21" s="14"/>
      <c r="C21" s="14"/>
      <c r="D21" s="14"/>
      <c r="E21" s="14"/>
      <c r="F21" s="14"/>
      <c r="G21" s="14"/>
      <c r="H21" s="14"/>
    </row>
    <row r="22" ht="79.5" customHeight="1" spans="1:8">
      <c r="A22" s="14"/>
      <c r="B22" s="14"/>
      <c r="C22" s="14"/>
      <c r="D22" s="14"/>
      <c r="E22" s="14"/>
      <c r="F22" s="14"/>
      <c r="G22" s="14"/>
      <c r="H22" s="14"/>
    </row>
    <row r="23" ht="79.5" customHeight="1" spans="1:8">
      <c r="A23" s="14"/>
      <c r="B23" s="14"/>
      <c r="C23" s="14"/>
      <c r="D23" s="14"/>
      <c r="E23" s="14"/>
      <c r="F23" s="14"/>
      <c r="G23" s="14"/>
      <c r="H23" s="14"/>
    </row>
    <row r="24" ht="79.5" customHeight="1" spans="1:8">
      <c r="A24" s="14"/>
      <c r="B24" s="14"/>
      <c r="C24" s="14"/>
      <c r="D24" s="14"/>
      <c r="E24" s="14"/>
      <c r="F24" s="14"/>
      <c r="G24" s="14"/>
      <c r="H24" s="14"/>
    </row>
    <row r="25" ht="79.5" customHeight="1" spans="1:8">
      <c r="A25" s="14"/>
      <c r="B25" s="14"/>
      <c r="C25" s="14"/>
      <c r="D25" s="14"/>
      <c r="E25" s="14"/>
      <c r="F25" s="14"/>
      <c r="G25" s="14"/>
      <c r="H25" s="14"/>
    </row>
    <row r="26" ht="79.5" customHeight="1" spans="1:8">
      <c r="A26" s="14"/>
      <c r="B26" s="14"/>
      <c r="C26" s="14"/>
      <c r="D26" s="14"/>
      <c r="E26" s="14"/>
      <c r="F26" s="14"/>
      <c r="G26" s="14"/>
      <c r="H26" s="14"/>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pageMargins left="0.75" right="0.75" top="1" bottom="1" header="0" footer="0"/>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00"/>
  <sheetViews>
    <sheetView workbookViewId="0">
      <selection activeCell="A1" sqref="A1:F1"/>
    </sheetView>
  </sheetViews>
  <sheetFormatPr defaultColWidth="14.4285714285714" defaultRowHeight="15" customHeight="1" outlineLevelCol="5"/>
  <cols>
    <col min="1" max="1" width="12" customWidth="1"/>
    <col min="2" max="2" width="22" customWidth="1"/>
    <col min="3" max="6" width="30" customWidth="1"/>
    <col min="7" max="26" width="8.71428571428571" customWidth="1"/>
  </cols>
  <sheetData>
    <row r="1" ht="21" spans="1:1">
      <c r="A1" s="15" t="s">
        <v>91</v>
      </c>
    </row>
    <row r="2" spans="1:1">
      <c r="A2" s="16" t="s">
        <v>92</v>
      </c>
    </row>
    <row r="3" ht="39.75" customHeight="1" spans="1:6">
      <c r="A3" s="4" t="s">
        <v>93</v>
      </c>
      <c r="B3" s="4" t="s">
        <v>94</v>
      </c>
      <c r="C3" s="4" t="s">
        <v>95</v>
      </c>
      <c r="D3" s="4" t="s">
        <v>96</v>
      </c>
      <c r="E3" s="4" t="s">
        <v>97</v>
      </c>
      <c r="F3" s="4" t="s">
        <v>98</v>
      </c>
    </row>
    <row r="4" ht="60" customHeight="1" spans="1:6">
      <c r="A4" s="17">
        <v>4</v>
      </c>
      <c r="B4" s="18" t="s">
        <v>99</v>
      </c>
      <c r="C4" s="18" t="s">
        <v>100</v>
      </c>
      <c r="D4" s="18" t="s">
        <v>101</v>
      </c>
      <c r="E4" s="18" t="s">
        <v>102</v>
      </c>
      <c r="F4" s="18" t="s">
        <v>103</v>
      </c>
    </row>
    <row r="5" ht="90" spans="1:6">
      <c r="A5" s="17">
        <v>6</v>
      </c>
      <c r="B5" s="18" t="s">
        <v>104</v>
      </c>
      <c r="C5" s="18" t="s">
        <v>105</v>
      </c>
      <c r="D5" s="18" t="s">
        <v>106</v>
      </c>
      <c r="E5" s="18" t="s">
        <v>107</v>
      </c>
      <c r="F5" s="18" t="s">
        <v>108</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25" ht="15.75" customHeight="1"/>
    <row r="26" ht="15.75" customHeight="1"/>
    <row r="27" ht="15.75" customHeight="1"/>
    <row r="28" ht="15.75" customHeight="1"/>
    <row r="29" ht="15.75" customHeight="1"/>
    <row r="30" ht="15.75" customHeight="1" spans="1:1">
      <c r="A30" s="3" t="s">
        <v>109</v>
      </c>
    </row>
    <row r="31" ht="15.75" customHeight="1" spans="1:3">
      <c r="A31" s="12" t="s">
        <v>110</v>
      </c>
      <c r="B31" s="12" t="s">
        <v>111</v>
      </c>
      <c r="C31" s="12" t="s">
        <v>112</v>
      </c>
    </row>
    <row r="32" ht="15.75" customHeight="1" spans="1:3">
      <c r="A32" s="14" t="s">
        <v>113</v>
      </c>
      <c r="B32" s="14" t="s">
        <v>114</v>
      </c>
      <c r="C32" s="14" t="s">
        <v>115</v>
      </c>
    </row>
    <row r="33" ht="15.75" customHeight="1" spans="1:3">
      <c r="A33" s="14" t="s">
        <v>116</v>
      </c>
      <c r="B33" s="14" t="s">
        <v>117</v>
      </c>
      <c r="C33" s="14" t="s">
        <v>118</v>
      </c>
    </row>
    <row r="34" ht="15.75" customHeight="1" spans="1:3">
      <c r="A34" s="14" t="s">
        <v>119</v>
      </c>
      <c r="B34" s="14" t="s">
        <v>120</v>
      </c>
      <c r="C34" s="14" t="s">
        <v>121</v>
      </c>
    </row>
    <row r="35" ht="15.75" customHeight="1" spans="1:3">
      <c r="A35" s="14" t="s">
        <v>122</v>
      </c>
      <c r="B35" s="14" t="s">
        <v>123</v>
      </c>
      <c r="C35" s="14" t="s">
        <v>124</v>
      </c>
    </row>
    <row r="36" ht="15.75" customHeight="1" spans="1:3">
      <c r="A36" s="14" t="s">
        <v>125</v>
      </c>
      <c r="B36" s="14" t="s">
        <v>126</v>
      </c>
      <c r="C36" s="14" t="s">
        <v>127</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ageMargins left="0.75" right="0.75" top="1" bottom="1" header="0" footer="0"/>
  <pageSetup paperSize="1"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000"/>
  <sheetViews>
    <sheetView tabSelected="1" workbookViewId="0">
      <selection activeCell="A1" sqref="A1:D1"/>
    </sheetView>
  </sheetViews>
  <sheetFormatPr defaultColWidth="14.4285714285714" defaultRowHeight="15" customHeight="1" outlineLevelCol="3"/>
  <cols>
    <col min="1" max="1" width="8" customWidth="1"/>
    <col min="2" max="2" width="60" customWidth="1"/>
    <col min="3" max="3" width="10" customWidth="1"/>
    <col min="4" max="4" width="30" customWidth="1"/>
    <col min="5" max="26" width="8.71428571428571" customWidth="1"/>
  </cols>
  <sheetData>
    <row r="1" ht="21" spans="1:1">
      <c r="A1" s="1" t="s">
        <v>128</v>
      </c>
    </row>
    <row r="2" spans="1:1">
      <c r="A2" s="2" t="s">
        <v>129</v>
      </c>
    </row>
    <row r="4" ht="18.75" spans="1:1">
      <c r="A4" s="3" t="s">
        <v>130</v>
      </c>
    </row>
    <row r="5" spans="1:4">
      <c r="A5" s="4" t="s">
        <v>131</v>
      </c>
      <c r="B5" s="5" t="s">
        <v>132</v>
      </c>
      <c r="C5" s="4" t="s">
        <v>133</v>
      </c>
      <c r="D5" s="5" t="s">
        <v>134</v>
      </c>
    </row>
    <row r="6" spans="1:4">
      <c r="A6" s="6" t="s">
        <v>135</v>
      </c>
      <c r="B6" s="7" t="s">
        <v>136</v>
      </c>
      <c r="C6" s="6" t="s">
        <v>137</v>
      </c>
      <c r="D6" s="7"/>
    </row>
    <row r="7" spans="1:4">
      <c r="A7" s="6" t="s">
        <v>138</v>
      </c>
      <c r="B7" s="7" t="s">
        <v>139</v>
      </c>
      <c r="C7" s="6" t="s">
        <v>137</v>
      </c>
      <c r="D7" s="7"/>
    </row>
    <row r="8" spans="1:4">
      <c r="A8" s="6" t="s">
        <v>140</v>
      </c>
      <c r="B8" s="7" t="s">
        <v>141</v>
      </c>
      <c r="C8" s="6" t="s">
        <v>137</v>
      </c>
      <c r="D8" s="7"/>
    </row>
    <row r="9" spans="1:4">
      <c r="A9" s="6" t="s">
        <v>142</v>
      </c>
      <c r="B9" s="7" t="s">
        <v>143</v>
      </c>
      <c r="C9" s="6" t="s">
        <v>137</v>
      </c>
      <c r="D9" s="7"/>
    </row>
    <row r="10" spans="1:4">
      <c r="A10" s="6" t="s">
        <v>144</v>
      </c>
      <c r="B10" s="7" t="s">
        <v>145</v>
      </c>
      <c r="C10" s="6" t="s">
        <v>137</v>
      </c>
      <c r="D10" s="7"/>
    </row>
    <row r="12" ht="18.75" spans="1:1">
      <c r="A12" s="3" t="s">
        <v>146</v>
      </c>
    </row>
    <row r="13" spans="1:4">
      <c r="A13" s="4" t="s">
        <v>131</v>
      </c>
      <c r="B13" s="5" t="s">
        <v>132</v>
      </c>
      <c r="C13" s="4" t="s">
        <v>133</v>
      </c>
      <c r="D13" s="5" t="s">
        <v>147</v>
      </c>
    </row>
    <row r="14" spans="1:4">
      <c r="A14" s="6" t="s">
        <v>135</v>
      </c>
      <c r="B14" s="7" t="s">
        <v>148</v>
      </c>
      <c r="C14" s="6" t="s">
        <v>137</v>
      </c>
      <c r="D14" s="7"/>
    </row>
    <row r="15" spans="1:4">
      <c r="A15" s="6" t="s">
        <v>138</v>
      </c>
      <c r="B15" s="7" t="s">
        <v>149</v>
      </c>
      <c r="C15" s="6" t="s">
        <v>137</v>
      </c>
      <c r="D15" s="7"/>
    </row>
    <row r="16" spans="1:4">
      <c r="A16" s="6" t="s">
        <v>140</v>
      </c>
      <c r="B16" s="7" t="s">
        <v>150</v>
      </c>
      <c r="C16" s="6" t="s">
        <v>137</v>
      </c>
      <c r="D16" s="7"/>
    </row>
    <row r="17" spans="1:4">
      <c r="A17" s="6" t="s">
        <v>142</v>
      </c>
      <c r="B17" s="7" t="s">
        <v>151</v>
      </c>
      <c r="C17" s="6" t="s">
        <v>137</v>
      </c>
      <c r="D17" s="7"/>
    </row>
    <row r="18" spans="1:4">
      <c r="A18" s="6" t="s">
        <v>144</v>
      </c>
      <c r="B18" s="7" t="s">
        <v>152</v>
      </c>
      <c r="C18" s="6" t="s">
        <v>137</v>
      </c>
      <c r="D18" s="7"/>
    </row>
    <row r="20" ht="15.75" spans="1:1">
      <c r="A20" s="8" t="s">
        <v>153</v>
      </c>
    </row>
    <row r="21" ht="15.75" customHeight="1" spans="1:1">
      <c r="A21" s="9" t="s">
        <v>154</v>
      </c>
    </row>
    <row r="22" ht="15.75" customHeight="1" spans="1:1">
      <c r="A22" s="9" t="s">
        <v>155</v>
      </c>
    </row>
    <row r="23" ht="15.75" customHeight="1"/>
    <row r="24" ht="15.75" customHeight="1"/>
    <row r="25" ht="15.75" customHeight="1" spans="1:1">
      <c r="A25" s="3" t="s">
        <v>156</v>
      </c>
    </row>
    <row r="26" ht="15.75" customHeight="1" spans="1:1">
      <c r="A26" s="10" t="s">
        <v>157</v>
      </c>
    </row>
    <row r="27" ht="15.75" customHeight="1" spans="1:4">
      <c r="A27" s="11" t="s">
        <v>41</v>
      </c>
      <c r="B27" s="12" t="s">
        <v>158</v>
      </c>
      <c r="C27" s="12" t="s">
        <v>159</v>
      </c>
      <c r="D27" s="12" t="s">
        <v>160</v>
      </c>
    </row>
    <row r="28" ht="15.75" customHeight="1" spans="1:4">
      <c r="A28" s="13" t="s">
        <v>49</v>
      </c>
      <c r="B28" s="14"/>
      <c r="C28" s="14"/>
      <c r="D28" s="14"/>
    </row>
    <row r="29" ht="15.75" customHeight="1" spans="1:4">
      <c r="A29" s="13" t="s">
        <v>57</v>
      </c>
      <c r="B29" s="14"/>
      <c r="C29" s="14"/>
      <c r="D29" s="14"/>
    </row>
    <row r="30" ht="15.75" customHeight="1" spans="1:4">
      <c r="A30" s="13" t="s">
        <v>161</v>
      </c>
      <c r="B30" s="14"/>
      <c r="C30" s="14"/>
      <c r="D30" s="14"/>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ageMargins left="0.75" right="0.75" top="1" bottom="1"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2026-05-07T22:28:00Z</dcterms:created>
  <dcterms:modified xsi:type="dcterms:W3CDTF">2026-06-28T16:22:33Z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1033-11.2.0.9937</vt:lpwstr>
  </property>
</Properties>
</file>