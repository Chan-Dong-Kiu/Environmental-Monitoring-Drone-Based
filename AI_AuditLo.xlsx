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44525"/>
</workbook>
</file>

<file path=xl/sharedStrings.xml><?xml version="1.0" encoding="utf-8"?>
<sst xmlns="http://schemas.openxmlformats.org/spreadsheetml/2006/main" count="234" uniqueCount="198">
  <si>
    <t>AI AUDIT LOG - METADATA &amp; SUMMARY</t>
  </si>
  <si>
    <t>STUDENT INFORMATION</t>
  </si>
  <si>
    <t>Student Name:</t>
  </si>
  <si>
    <t>Sinh vien IoT (AI Assistant)</t>
  </si>
  <si>
    <t>Student ID:</t>
  </si>
  <si>
    <t>SE123456</t>
  </si>
  <si>
    <t>Course:</t>
  </si>
  <si>
    <t>IOT102</t>
  </si>
  <si>
    <t>Assignment:</t>
  </si>
  <si>
    <t>Weather Station Monitoring System</t>
  </si>
  <si>
    <t>AI USAGE SUMMARY</t>
  </si>
  <si>
    <t>Total Prompts Used (all AI tools):</t>
  </si>
  <si>
    <t>~90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</si>
  <si>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</si>
  <si>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</si>
  <si>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</si>
  <si>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</si>
  <si>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</si>
  <si>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</si>
  <si>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</si>
  <si>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Main Value</t>
  </si>
  <si>
    <t>ChatGPT</t>
  </si>
  <si>
    <t>Look up information nationwide, support learning</t>
  </si>
  <si>
    <t>High</t>
  </si>
  <si>
    <t>Rapid prototyping</t>
  </si>
  <si>
    <t>GitHub Copilot</t>
  </si>
  <si>
    <t>Auto-completion, Image creation</t>
  </si>
  <si>
    <t>Medium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</si>
  <si>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</si>
  <si>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</si>
  <si>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</si>
  <si>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</si>
  <si>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</si>
  <si>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</si>
  <si>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</si>
  <si>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</si>
  <si>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</si>
  <si>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</si>
  <si>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</si>
  <si>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</si>
  <si>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</si>
  <si>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</si>
  <si>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</si>
  <si>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</si>
  <si>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</si>
  <si>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</si>
  <si>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</si>
  <si>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</si>
  <si>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</si>
  <si>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QUYẾT ĐỊNH</t>
  </si>
  <si>
    <t>Phân rã chức năng hệ thống</t>
  </si>
  <si>
    <t>Dự án Drone có 3 mạch ESP32. Hãy giúp phân tích xem mạch nào nên làm nhiệm vụ gì?</t>
  </si>
  <si>
    <t>Gợi ý chia thành FC (bay), Payload (cảm biến), GCS (Web UI).</t>
  </si>
  <si>
    <t>Quyết định hợp lý vì FC cần realtime, không thể gánh Web Server.</t>
  </si>
  <si>
    <t>Kiến trúc mã nguồn</t>
  </si>
  <si>
    <t>TỐI ƯU</t>
  </si>
  <si>
    <t>Chuyển code sang Arduino IDE</t>
  </si>
  <si>
    <t>PlatformIO bị lỗi, làm sao cấu trúc lại các file cho Arduino IDE?</t>
  </si>
  <si>
    <t>Khuyên làm phẳng thư mục (gom chung) và xóa đường dẫn trong #include.</t>
  </si>
  <si>
    <t>Arduino IDE không hỗ trợ include thư mục con linh hoạt, bắt buộc làm phẳng.</t>
  </si>
  <si>
    <t>Các file phẳng trong Arduino_GCS</t>
  </si>
  <si>
    <t>XỬ LÝ LỖI</t>
  </si>
  <si>
    <t>Lỗi #endif without #if</t>
  </si>
  <si>
    <t>Liên tục gặp lỗi #endif without #if ở các file header sau khi copy.</t>
  </si>
  <si>
    <t>Lỗi do file bị chèn BOM (Byte Order Mark) khi tạo bằng PowerShell.</t>
  </si>
  <si>
    <t>Nhận diện pattern lỗi do format file, sửa lại tham số ghi file UTF-8 No BOM.</t>
  </si>
  <si>
    <t>Commit fix BOM</t>
  </si>
  <si>
    <t>Lỗi Github nhận sai ngôn ngữ</t>
  </si>
  <si>
    <t>Github nhận diện code C++ thành C, làm sao sửa?</t>
  </si>
  <si>
    <t>Thêm file .gitattributes cấu hình linguist-language=C++.</t>
  </si>
  <si>
    <t>Hiểu được pattern nhận diện của công cụ tĩnh, áp dụng rule ghi đè.</t>
  </si>
  <si>
    <t>File .gitattributes</t>
  </si>
  <si>
    <t>THIẾT KẾ</t>
  </si>
  <si>
    <t>Thiết kế Web UI</t>
  </si>
  <si>
    <t>Làm sao thiết kế Joystick ảo trên web điều khiển Drone?</t>
  </si>
  <si>
    <t>Tạo HTML tĩnh với các hình tròn Joystick và nút bấm.</t>
  </si>
  <si>
    <t>Bắt buộc AI phải trừu tượng hóa bằng Javascript để tính toán tọa độ (transform).</t>
  </si>
  <si>
    <t>index_html.h JS logic</t>
  </si>
  <si>
    <t>Giao thức truyền tin</t>
  </si>
  <si>
    <t>Cấu trúc gói tin nào hiệu quả để gửi dữ liệu qua HC-12?</t>
  </si>
  <si>
    <t>Dùng C++ struct với #pragma pack để nén dữ liệu byte.</t>
  </si>
  <si>
    <t>Giảm kích thước gói tin thay vì truyền JSON, tối ưu cho HC-12 băng thông thấp.</t>
  </si>
  <si>
    <t>struct GCSCommand</t>
  </si>
  <si>
    <t>THUẬT TOÁN</t>
  </si>
  <si>
    <t>Algorithm</t>
  </si>
  <si>
    <t>Web Server timeout</t>
  </si>
  <si>
    <t>Truy cập web 192.168.1.92 bị ERR_CONNECTION_TIMED_OUT.</t>
  </si>
  <si>
    <t>Khuyên dùng Mobile Hotspot để loại trừ lỗi router (AP isolation).</t>
  </si>
  <si>
    <t>Thuật toán AsyncWebServer không sai, vấn đề do cấu trúc mạng LAN.</t>
  </si>
  <si>
    <t>Kết nối thành công</t>
  </si>
  <si>
    <t>Tiết kiệm pin</t>
  </si>
  <si>
    <t>Cần thuật toán tắt cảm biến khi không cần đo.</t>
  </si>
  <si>
    <t>Thêm biến env_mode, bọc thuật toán đọc cảm biến trong lệnh if (g_env_mode).</t>
  </si>
  <si>
    <t>Tiết kiệm CPU cho Payload, nếu không bật thì ngắt hoàn toàn.</t>
  </si>
  <si>
    <t>telemetry_tx.cpp</t>
  </si>
  <si>
    <t>KIỂM THỬ</t>
  </si>
  <si>
    <t>Test giá trị cảm biến</t>
  </si>
  <si>
    <t>Làm sao in giá trị cảm biến ra màn hình để test?</t>
  </si>
  <si>
    <t>Viết thuật toán in log có cấu trúc format ra Serial Monitor.</t>
  </si>
  <si>
    <t>Giúp debug cảm biến nhanh chóng không cần mở Web UI.</t>
  </si>
  <si>
    <t>Serial.print code</t>
  </si>
  <si>
    <t>Tool xử lý chuỗi</t>
  </si>
  <si>
    <t>Viết script tự động quét và sửa lỗi include trong file.</t>
  </si>
  <si>
    <t>Viết script PowerShell dùng Regex thay thế chuỗi.</t>
  </si>
  <si>
    <t>Tự động hóa tác vụ lặp lại nhàm chán bằng thuật toán.</t>
  </si>
  <si>
    <t>update_protocol.ps1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</si>
  <si>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</si>
  <si>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</si>
  <si>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</si>
  <si>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</si>
  <si>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</si>
  <si>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</si>
  <si>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</si>
  <si>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</si>
  <si>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Context Misunderstanding</t>
  </si>
  <si>
    <t>AI khuyên thêm #if vào file C++ để sửa lỗi.</t>
  </si>
  <si>
    <t>Code C++ chuẩn xác, lỗi do BOM (kí tự ẩn) từ PowerShell.</t>
  </si>
  <si>
    <t>Mở file bằng Hex editor/kiểm tra encoding.</t>
  </si>
  <si>
    <t>Yêu cầu AI viết lại script ghi file UTF8-NoBOM.</t>
  </si>
  <si>
    <t>Lazy/Placeholder Code</t>
  </si>
  <si>
    <t>AI cấp mã HTML cho Joystick và bảo là chạy được ngay.</t>
  </si>
  <si>
    <t>Giao diện chỉ là ảnh tĩnh, không có Javascript tính toán sự kiện.</t>
  </si>
  <si>
    <t>Thử kéo thả chuột trên web không phản hồi.</t>
  </si>
  <si>
    <t>Bắt AI bổ sung hàm touchmove/mousemove JS.</t>
  </si>
  <si>
    <t>Requirement Omission</t>
  </si>
  <si>
    <t>AI bảo giao diện Web đã đầy đủ chức năng.</t>
  </si>
  <si>
    <t>Thiếu hoàn toàn nút bật tắt chức năng Đo Môi Trường.</t>
  </si>
  <si>
    <t>So sánh giao diện Web với Flowchart ban đầu.</t>
  </si>
  <si>
    <t>Yêu cầu AI bổ sung nút bấm và biến env_mode.</t>
  </si>
  <si>
    <t>Side effect</t>
  </si>
  <si>
    <t>AI dùng Regex thay thế hoàn hảo biến trong file.</t>
  </si>
  <si>
    <t>Lệnh Regex thay thế bừa bãi làm biến xuất hiện ở 2 struct khác nhau.</t>
  </si>
  <si>
    <t>Đọc lại code protocol.h sau khi chạy script.</t>
  </si>
  <si>
    <t>Rút kinh nghiệm về rủi ro khi dùng Regex replace toàn cục.</t>
  </si>
  <si>
    <t>False Diagnosis</t>
  </si>
  <si>
    <t>AI khuyên sửa code cấu hình mạng ESP32 để sửa lỗi Timeout.</t>
  </si>
  <si>
    <t>Lỗi do router chặn kết nối nội bộ, code hoàn toàn đúng.</t>
  </si>
  <si>
    <t>Test ping và dùng thử mạng Mobile Hotspot.</t>
  </si>
  <si>
    <t>Giữ nguyên code, thay đổi cách kết nối mạng.</t>
  </si>
  <si>
    <t>Technical Infeasibility</t>
  </si>
  <si>
    <t>Khuyên đổi tên file .cpp thành .ino là xong.</t>
  </si>
  <si>
    <t>Arduino IDE bắt buộc các file phải làm phẳng hoặc tạo thành thư viện.</t>
  </si>
  <si>
    <t>IDE báo lỗi không tìm thấy file include.</t>
  </si>
  <si>
    <t>Bắt buộc viết kịch bản flatten toàn bộ source code.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</si>
  <si>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</si>
  <si>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</si>
  <si>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</si>
  <si>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</si>
  <si>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</si>
  <si>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</si>
  <si>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</si>
  <si>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</si>
  <si>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</si>
  <si>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</si>
  <si>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</si>
  <si>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</si>
  <si>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</si>
  <si>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</si>
  <si>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</si>
  <si>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</si>
  <si>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AI không hiểu đúng bối cảnh</t>
  </si>
  <si>
    <t>Không biết business constraints</t>
  </si>
  <si>
    <t>awd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</si>
  <si>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</si>
  <si>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</si>
  <si>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</si>
  <si>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</si>
  <si>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</si>
  <si>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</si>
  <si>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</si>
  <si>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</si>
  <si>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</si>
  <si>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</si>
  <si>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</si>
  <si>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</si>
  <si>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</si>
  <si>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</si>
  <si>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</si>
  <si>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</si>
  <si>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</si>
  <si>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</si>
  <si>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</si>
  <si>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</si>
  <si>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</si>
  <si>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</si>
  <si>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</si>
  <si>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</si>
  <si>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</si>
  <si>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</si>
  <si>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</si>
  <si>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</si>
  <si>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</si>
  <si>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</si>
  <si>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</si>
  <si>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</si>
  <si>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001</t>
  </si>
  <si>
    <t>002</t>
  </si>
  <si>
    <t>003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</si>
</sst>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0.0%"/>
    <numFmt numFmtId="178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6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i/>
      <sz val="9"/>
      <color rgb="FF666666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9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10" borderId="4" applyNumberFormat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9" fillId="25" borderId="8" applyNumberForma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9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4" fillId="27" borderId="8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7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4" borderId="2" xfId="0" applyFont="1" applyFill="1" applyBorder="1" applyAlignment="1">
      <alignment vertical="top" wrapText="1"/>
    </xf>
    <xf numFmtId="0" fontId="14" fillId="4" borderId="2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15" fillId="4" borderId="1" xfId="0" applyFont="1" applyFill="1" applyBorder="1" applyAlignment="1">
      <alignment horizontal="left" vertical="top" wrapText="1"/>
    </xf>
    <xf numFmtId="0" fontId="15" fillId="4" borderId="2" xfId="0" applyFont="1" applyFill="1" applyBorder="1" applyAlignment="1">
      <alignment vertical="top"/>
    </xf>
    <xf numFmtId="0" fontId="9" fillId="0" borderId="0" xfId="0" applyFont="1"/>
    <xf numFmtId="0" fontId="10" fillId="5" borderId="0" xfId="0" applyFont="1" applyFill="1" applyBorder="1" applyAlignment="1"/>
    <xf numFmtId="177" fontId="10" fillId="0" borderId="0" xfId="0" applyNumberFormat="1" applyFont="1"/>
    <xf numFmtId="0" fontId="16" fillId="0" borderId="0" xfId="0" applyFont="1"/>
    <xf numFmtId="0" fontId="10" fillId="5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999"/>
  <sheetViews>
    <sheetView tabSelected="1" workbookViewId="0">
      <selection activeCell="A1" sqref="A1:F1"/>
    </sheetView>
  </sheetViews>
  <sheetFormatPr defaultColWidth="14.4285714285714" defaultRowHeight="15" customHeight="1" outlineLevelCol="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  <col min="7" max="26" width="8.71428571428571" customWidth="1"/>
  </cols>
  <sheetData>
    <row r="1" ht="21" spans="1:1">
      <c r="A1" s="1" t="s">
        <v>0</v>
      </c>
    </row>
    <row r="3" ht="18.75" spans="1:1">
      <c r="A3" s="3" t="s">
        <v>1</v>
      </c>
    </row>
    <row r="4" ht="29.25" customHeight="1" spans="1:3">
      <c r="A4" s="22" t="s">
        <v>2</v>
      </c>
      <c r="C4" t="s">
        <v>3</v>
      </c>
    </row>
    <row r="5" spans="1:3">
      <c r="A5" s="22" t="s">
        <v>4</v>
      </c>
      <c r="C5" t="s">
        <v>5</v>
      </c>
    </row>
    <row r="6" spans="1:3">
      <c r="A6" s="22" t="s">
        <v>6</v>
      </c>
      <c r="C6" t="s">
        <v>7</v>
      </c>
    </row>
    <row r="7" spans="1:3">
      <c r="A7" s="22" t="s">
        <v>8</v>
      </c>
      <c r="C7" t="s">
        <v>9</v>
      </c>
    </row>
    <row r="9" ht="18.75" spans="1:1">
      <c r="A9" s="3" t="s">
        <v>10</v>
      </c>
    </row>
    <row r="10" spans="1:3">
      <c r="A10" s="22" t="s">
        <v>11</v>
      </c>
      <c r="C10" t="s">
        <v>12</v>
      </c>
    </row>
    <row r="11" spans="1:3">
      <c r="A11" s="22" t="s">
        <v>13</v>
      </c>
      <c r="C11" s="23">
        <v>9</v>
      </c>
    </row>
    <row r="12" spans="1:5">
      <c r="A12" s="22" t="s">
        <v>14</v>
      </c>
      <c r="C12" s="24" t="e">
        <f>C11/C10</f>
        <v>#VALUE!</v>
      </c>
      <c r="E12" s="25" t="s">
        <v>15</v>
      </c>
    </row>
    <row r="13" spans="1:3">
      <c r="A13" s="22" t="s">
        <v>16</v>
      </c>
      <c r="C13" s="23">
        <v>1</v>
      </c>
    </row>
    <row r="15" ht="18.75" spans="1:1">
      <c r="A15" s="3" t="s">
        <v>17</v>
      </c>
    </row>
    <row r="16" spans="1:4">
      <c r="A16" s="4" t="s">
        <v>18</v>
      </c>
      <c r="B16" s="4" t="s">
        <v>19</v>
      </c>
      <c r="C16" s="4" t="s">
        <v>19</v>
      </c>
      <c r="D16" s="4" t="s">
        <v>20</v>
      </c>
    </row>
    <row r="17" ht="30" spans="1:4">
      <c r="A17" s="14" t="s">
        <v>21</v>
      </c>
      <c r="B17" s="14" t="s">
        <v>22</v>
      </c>
      <c r="C17" s="14" t="s">
        <v>23</v>
      </c>
      <c r="D17" s="14" t="s">
        <v>24</v>
      </c>
    </row>
    <row r="18" spans="1:4">
      <c r="A18" s="14" t="s">
        <v>25</v>
      </c>
      <c r="B18" s="14" t="s">
        <v>26</v>
      </c>
      <c r="C18" s="14" t="s">
        <v>27</v>
      </c>
      <c r="D18" s="14" t="s">
        <v>28</v>
      </c>
    </row>
    <row r="19" spans="1:4">
      <c r="A19" s="14" t="s">
        <v>29</v>
      </c>
      <c r="B19" s="14"/>
      <c r="C19" s="14"/>
      <c r="D19" s="14"/>
    </row>
    <row r="20" ht="15.75" customHeight="1"/>
    <row r="21" ht="15.75" customHeight="1" spans="1:1">
      <c r="A21" s="3" t="s">
        <v>30</v>
      </c>
    </row>
    <row r="22" ht="15.75" customHeight="1" spans="1:3">
      <c r="A22" s="4" t="s">
        <v>31</v>
      </c>
      <c r="B22" s="4" t="s">
        <v>32</v>
      </c>
      <c r="C22" s="4" t="s">
        <v>33</v>
      </c>
    </row>
    <row r="23" ht="15.75" customHeight="1" spans="1:3">
      <c r="A23" s="14" t="s">
        <v>34</v>
      </c>
      <c r="B23" s="26">
        <v>2</v>
      </c>
      <c r="C23" s="13" t="s">
        <v>35</v>
      </c>
    </row>
    <row r="24" ht="15.75" customHeight="1" spans="1:3">
      <c r="A24" s="14" t="s">
        <v>36</v>
      </c>
      <c r="B24" s="26">
        <v>3</v>
      </c>
      <c r="C24" s="13" t="s">
        <v>35</v>
      </c>
    </row>
    <row r="25" ht="15.75" customHeight="1" spans="1:3">
      <c r="A25" s="14" t="s">
        <v>37</v>
      </c>
      <c r="B25" s="26">
        <v>2</v>
      </c>
      <c r="C25" s="13" t="s">
        <v>35</v>
      </c>
    </row>
    <row r="26" ht="15.75" customHeight="1" spans="1:3">
      <c r="A26" s="14" t="s">
        <v>38</v>
      </c>
      <c r="B26" s="26">
        <v>3</v>
      </c>
      <c r="C26" s="13" t="s">
        <v>35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F1"/>
  </mergeCells>
  <pageMargins left="0.7" right="0.7" top="0.75" bottom="0.75" header="0" footer="0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workbookViewId="0">
      <selection activeCell="A1" sqref="A1:H1"/>
    </sheetView>
  </sheetViews>
  <sheetFormatPr defaultColWidth="14.4285714285714" defaultRowHeight="15" customHeight="1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65.4285714285714" customWidth="1"/>
    <col min="8" max="8" width="20" customWidth="1"/>
    <col min="9" max="26" width="8.71428571428571" customWidth="1"/>
  </cols>
  <sheetData>
    <row r="1" ht="21" spans="1:1">
      <c r="A1" s="1" t="s">
        <v>39</v>
      </c>
    </row>
    <row r="2" ht="30" customHeight="1" spans="1:1">
      <c r="A2" s="19" t="s">
        <v>40</v>
      </c>
    </row>
    <row r="3" ht="39.75" customHeight="1" spans="1:8">
      <c r="A3" s="4" t="s">
        <v>41</v>
      </c>
      <c r="B3" s="4" t="s">
        <v>42</v>
      </c>
      <c r="C3" s="4" t="s">
        <v>43</v>
      </c>
      <c r="D3" s="4" t="s">
        <v>44</v>
      </c>
      <c r="E3" s="4" t="s">
        <v>45</v>
      </c>
      <c r="F3" s="4" t="s">
        <v>46</v>
      </c>
      <c r="G3" s="4" t="s">
        <v>47</v>
      </c>
      <c r="H3" s="4" t="s">
        <v>48</v>
      </c>
    </row>
    <row r="4" ht="99.75" customHeight="1" spans="1:8">
      <c r="A4" s="14">
        <v>1</v>
      </c>
      <c r="B4" s="20" t="s">
        <v>49</v>
      </c>
      <c r="C4" s="18" t="s">
        <v>34</v>
      </c>
      <c r="D4" s="18" t="s">
        <v>50</v>
      </c>
      <c r="E4" s="18" t="s">
        <v>51</v>
      </c>
      <c r="F4" s="18" t="s">
        <v>52</v>
      </c>
      <c r="G4" s="18" t="s">
        <v>53</v>
      </c>
      <c r="H4" s="18" t="s">
        <v>54</v>
      </c>
    </row>
    <row r="5" ht="99.75" customHeight="1" spans="1:8">
      <c r="A5" s="14">
        <v>2</v>
      </c>
      <c r="B5" s="21" t="s">
        <v>55</v>
      </c>
      <c r="C5" s="18" t="s">
        <v>34</v>
      </c>
      <c r="D5" s="18" t="s">
        <v>56</v>
      </c>
      <c r="E5" s="18" t="s">
        <v>57</v>
      </c>
      <c r="F5" s="18" t="s">
        <v>58</v>
      </c>
      <c r="G5" s="18" t="s">
        <v>59</v>
      </c>
      <c r="H5" s="18" t="s">
        <v>60</v>
      </c>
    </row>
    <row r="6" ht="99.75" customHeight="1" spans="1:8">
      <c r="A6" s="14">
        <v>3</v>
      </c>
      <c r="B6" s="21" t="s">
        <v>61</v>
      </c>
      <c r="C6" s="18" t="s">
        <v>36</v>
      </c>
      <c r="D6" s="18" t="s">
        <v>62</v>
      </c>
      <c r="E6" s="18" t="s">
        <v>63</v>
      </c>
      <c r="F6" s="18" t="s">
        <v>64</v>
      </c>
      <c r="G6" s="18" t="s">
        <v>65</v>
      </c>
      <c r="H6" s="18" t="s">
        <v>66</v>
      </c>
    </row>
    <row r="7" ht="79.5" customHeight="1" spans="1:8">
      <c r="A7" s="14">
        <v>4</v>
      </c>
      <c r="B7" s="21" t="s">
        <v>61</v>
      </c>
      <c r="C7" s="18" t="s">
        <v>36</v>
      </c>
      <c r="D7" s="18" t="s">
        <v>67</v>
      </c>
      <c r="E7" s="18" t="s">
        <v>68</v>
      </c>
      <c r="F7" s="18" t="s">
        <v>69</v>
      </c>
      <c r="G7" s="18" t="s">
        <v>70</v>
      </c>
      <c r="H7" s="18" t="s">
        <v>71</v>
      </c>
    </row>
    <row r="8" ht="79.5" customHeight="1" spans="1:8">
      <c r="A8" s="14">
        <v>5</v>
      </c>
      <c r="B8" s="21" t="s">
        <v>72</v>
      </c>
      <c r="C8" s="18" t="s">
        <v>37</v>
      </c>
      <c r="D8" s="18" t="s">
        <v>73</v>
      </c>
      <c r="E8" s="18" t="s">
        <v>74</v>
      </c>
      <c r="F8" s="18" t="s">
        <v>75</v>
      </c>
      <c r="G8" s="18" t="s">
        <v>76</v>
      </c>
      <c r="H8" s="18" t="s">
        <v>77</v>
      </c>
    </row>
    <row r="9" ht="79.5" customHeight="1" spans="1:8">
      <c r="A9" s="14">
        <v>6</v>
      </c>
      <c r="B9" s="21" t="s">
        <v>55</v>
      </c>
      <c r="C9" s="18" t="s">
        <v>37</v>
      </c>
      <c r="D9" s="18" t="s">
        <v>78</v>
      </c>
      <c r="E9" s="18" t="s">
        <v>79</v>
      </c>
      <c r="F9" s="18" t="s">
        <v>80</v>
      </c>
      <c r="G9" s="18" t="s">
        <v>81</v>
      </c>
      <c r="H9" s="18" t="s">
        <v>82</v>
      </c>
    </row>
    <row r="10" ht="79.5" customHeight="1" spans="1:8">
      <c r="A10" s="14">
        <v>7</v>
      </c>
      <c r="B10" s="14" t="s">
        <v>83</v>
      </c>
      <c r="C10" s="14" t="s">
        <v>84</v>
      </c>
      <c r="D10" s="14" t="s">
        <v>85</v>
      </c>
      <c r="E10" s="14" t="s">
        <v>86</v>
      </c>
      <c r="F10" s="14" t="s">
        <v>87</v>
      </c>
      <c r="G10" s="14" t="s">
        <v>88</v>
      </c>
      <c r="H10" s="14" t="s">
        <v>89</v>
      </c>
    </row>
    <row r="11" ht="79.5" customHeight="1" spans="1:8">
      <c r="A11" s="14">
        <v>8</v>
      </c>
      <c r="B11" s="14" t="s">
        <v>55</v>
      </c>
      <c r="C11" s="14" t="s">
        <v>84</v>
      </c>
      <c r="D11" s="14" t="s">
        <v>90</v>
      </c>
      <c r="E11" s="14" t="s">
        <v>91</v>
      </c>
      <c r="F11" s="14" t="s">
        <v>92</v>
      </c>
      <c r="G11" s="14" t="s">
        <v>93</v>
      </c>
      <c r="H11" s="14" t="s">
        <v>94</v>
      </c>
    </row>
    <row r="12" ht="79.5" customHeight="1" spans="1:8">
      <c r="A12" s="14">
        <v>9</v>
      </c>
      <c r="B12" s="14" t="s">
        <v>95</v>
      </c>
      <c r="C12" s="14" t="s">
        <v>84</v>
      </c>
      <c r="D12" s="14" t="s">
        <v>96</v>
      </c>
      <c r="E12" s="14" t="s">
        <v>97</v>
      </c>
      <c r="F12" s="14" t="s">
        <v>98</v>
      </c>
      <c r="G12" s="14" t="s">
        <v>99</v>
      </c>
      <c r="H12" s="14" t="s">
        <v>100</v>
      </c>
    </row>
    <row r="13" ht="79.5" customHeight="1" spans="1:8">
      <c r="A13" s="14">
        <v>10</v>
      </c>
      <c r="B13" s="14" t="s">
        <v>83</v>
      </c>
      <c r="C13" s="14" t="s">
        <v>84</v>
      </c>
      <c r="D13" s="14" t="s">
        <v>101</v>
      </c>
      <c r="E13" s="14" t="s">
        <v>102</v>
      </c>
      <c r="F13" s="14" t="s">
        <v>103</v>
      </c>
      <c r="G13" s="14" t="s">
        <v>104</v>
      </c>
      <c r="H13" s="14" t="s">
        <v>105</v>
      </c>
    </row>
    <row r="14" ht="79.5" customHeight="1" spans="1:8">
      <c r="A14" s="14"/>
      <c r="B14" s="14"/>
      <c r="C14" s="14"/>
      <c r="D14" s="14"/>
      <c r="E14" s="14"/>
      <c r="F14" s="14"/>
      <c r="G14" s="14"/>
      <c r="H14" s="14"/>
    </row>
    <row r="15" ht="79.5" customHeight="1" spans="1:8">
      <c r="A15" s="14"/>
      <c r="B15" s="14"/>
      <c r="C15" s="14"/>
      <c r="D15" s="14"/>
      <c r="E15" s="14"/>
      <c r="F15" s="14"/>
      <c r="G15" s="14"/>
      <c r="H15" s="14"/>
    </row>
    <row r="16" ht="79.5" customHeight="1" spans="1:8">
      <c r="A16" s="14"/>
      <c r="B16" s="14"/>
      <c r="C16" s="14"/>
      <c r="D16" s="14"/>
      <c r="E16" s="14"/>
      <c r="F16" s="14"/>
      <c r="G16" s="14"/>
      <c r="H16" s="14"/>
    </row>
    <row r="17" ht="79.5" customHeight="1" spans="1:8">
      <c r="A17" s="14"/>
      <c r="B17" s="14"/>
      <c r="C17" s="14"/>
      <c r="D17" s="14"/>
      <c r="E17" s="14"/>
      <c r="F17" s="14"/>
      <c r="G17" s="14"/>
      <c r="H17" s="14"/>
    </row>
    <row r="18" ht="79.5" customHeight="1" spans="1:8">
      <c r="A18" s="14"/>
      <c r="B18" s="14"/>
      <c r="C18" s="14"/>
      <c r="D18" s="14"/>
      <c r="E18" s="14"/>
      <c r="F18" s="14"/>
      <c r="G18" s="14"/>
      <c r="H18" s="14"/>
    </row>
    <row r="19" ht="79.5" customHeight="1" spans="1:8">
      <c r="A19" s="14"/>
      <c r="B19" s="14"/>
      <c r="C19" s="14"/>
      <c r="D19" s="14"/>
      <c r="E19" s="14"/>
      <c r="F19" s="14"/>
      <c r="G19" s="14"/>
      <c r="H19" s="14"/>
    </row>
    <row r="20" ht="79.5" customHeight="1" spans="1:8">
      <c r="A20" s="14"/>
      <c r="B20" s="14"/>
      <c r="C20" s="14"/>
      <c r="D20" s="14"/>
      <c r="E20" s="14"/>
      <c r="F20" s="14"/>
      <c r="G20" s="14"/>
      <c r="H20" s="14"/>
    </row>
    <row r="21" ht="79.5" customHeight="1" spans="1:8">
      <c r="A21" s="14"/>
      <c r="B21" s="14"/>
      <c r="C21" s="14"/>
      <c r="D21" s="14"/>
      <c r="E21" s="14"/>
      <c r="F21" s="14"/>
      <c r="G21" s="14"/>
      <c r="H21" s="14"/>
    </row>
    <row r="22" ht="79.5" customHeight="1" spans="1:8">
      <c r="A22" s="14"/>
      <c r="B22" s="14"/>
      <c r="C22" s="14"/>
      <c r="D22" s="14"/>
      <c r="E22" s="14"/>
      <c r="F22" s="14"/>
      <c r="G22" s="14"/>
      <c r="H22" s="14"/>
    </row>
    <row r="23" ht="79.5" customHeight="1" spans="1:8">
      <c r="A23" s="14"/>
      <c r="B23" s="14"/>
      <c r="C23" s="14"/>
      <c r="D23" s="14"/>
      <c r="E23" s="14"/>
      <c r="F23" s="14"/>
      <c r="G23" s="14"/>
      <c r="H23" s="14"/>
    </row>
    <row r="24" ht="79.5" customHeight="1" spans="1:8">
      <c r="A24" s="14"/>
      <c r="B24" s="14"/>
      <c r="C24" s="14"/>
      <c r="D24" s="14"/>
      <c r="E24" s="14"/>
      <c r="F24" s="14"/>
      <c r="G24" s="14"/>
      <c r="H24" s="14"/>
    </row>
    <row r="25" ht="79.5" customHeight="1" spans="1:8">
      <c r="A25" s="14"/>
      <c r="B25" s="14"/>
      <c r="C25" s="14"/>
      <c r="D25" s="14"/>
      <c r="E25" s="14"/>
      <c r="F25" s="14"/>
      <c r="G25" s="14"/>
      <c r="H25" s="14"/>
    </row>
    <row r="26" ht="79.5" customHeight="1" spans="1:8">
      <c r="A26" s="14"/>
      <c r="B26" s="14"/>
      <c r="C26" s="14"/>
      <c r="D26" s="14"/>
      <c r="E26" s="14"/>
      <c r="F26" s="14"/>
      <c r="G26" s="14"/>
      <c r="H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A1" sqref="A1:F1"/>
    </sheetView>
  </sheetViews>
  <sheetFormatPr defaultColWidth="14.4285714285714" defaultRowHeight="15" customHeight="1" outlineLevelCol="5"/>
  <cols>
    <col min="1" max="1" width="12" customWidth="1"/>
    <col min="2" max="2" width="22" customWidth="1"/>
    <col min="3" max="6" width="30" customWidth="1"/>
    <col min="7" max="26" width="8.71428571428571" customWidth="1"/>
  </cols>
  <sheetData>
    <row r="1" ht="21" spans="1:1">
      <c r="A1" s="15" t="s">
        <v>106</v>
      </c>
    </row>
    <row r="2" spans="1:1">
      <c r="A2" s="16" t="s">
        <v>107</v>
      </c>
    </row>
    <row r="3" ht="39.75" customHeight="1" spans="1:6">
      <c r="A3" s="4" t="s">
        <v>108</v>
      </c>
      <c r="B3" s="4" t="s">
        <v>109</v>
      </c>
      <c r="C3" s="4" t="s">
        <v>110</v>
      </c>
      <c r="D3" s="4" t="s">
        <v>111</v>
      </c>
      <c r="E3" s="4" t="s">
        <v>112</v>
      </c>
      <c r="F3" s="4" t="s">
        <v>113</v>
      </c>
    </row>
    <row r="4" ht="60" customHeight="1" spans="1:6">
      <c r="A4" s="17">
        <v>3</v>
      </c>
      <c r="B4" s="18" t="s">
        <v>114</v>
      </c>
      <c r="C4" s="18" t="s">
        <v>115</v>
      </c>
      <c r="D4" s="18" t="s">
        <v>116</v>
      </c>
      <c r="E4" s="18" t="s">
        <v>117</v>
      </c>
      <c r="F4" s="18" t="s">
        <v>118</v>
      </c>
    </row>
    <row r="5" ht="30" spans="1:6">
      <c r="A5" s="17">
        <v>5</v>
      </c>
      <c r="B5" s="18" t="s">
        <v>119</v>
      </c>
      <c r="C5" s="18" t="s">
        <v>120</v>
      </c>
      <c r="D5" s="18" t="s">
        <v>121</v>
      </c>
      <c r="E5" s="18" t="s">
        <v>122</v>
      </c>
      <c r="F5" s="18" t="s">
        <v>123</v>
      </c>
    </row>
    <row r="6" ht="60" customHeight="1" spans="1:6">
      <c r="A6" s="14">
        <v>8</v>
      </c>
      <c r="B6" s="14" t="s">
        <v>124</v>
      </c>
      <c r="C6" s="14" t="s">
        <v>125</v>
      </c>
      <c r="D6" s="14" t="s">
        <v>126</v>
      </c>
      <c r="E6" s="14" t="s">
        <v>127</v>
      </c>
      <c r="F6" s="14" t="s">
        <v>128</v>
      </c>
    </row>
    <row r="7" ht="60" customHeight="1" spans="1:6">
      <c r="A7" s="14">
        <v>10</v>
      </c>
      <c r="B7" s="14" t="s">
        <v>129</v>
      </c>
      <c r="C7" s="14" t="s">
        <v>130</v>
      </c>
      <c r="D7" s="14" t="s">
        <v>131</v>
      </c>
      <c r="E7" s="14" t="s">
        <v>132</v>
      </c>
      <c r="F7" s="14" t="s">
        <v>133</v>
      </c>
    </row>
    <row r="8" ht="60" customHeight="1" spans="1:6">
      <c r="A8" s="14">
        <v>7</v>
      </c>
      <c r="B8" s="14" t="s">
        <v>134</v>
      </c>
      <c r="C8" s="14" t="s">
        <v>135</v>
      </c>
      <c r="D8" s="14" t="s">
        <v>136</v>
      </c>
      <c r="E8" s="14" t="s">
        <v>137</v>
      </c>
      <c r="F8" s="14" t="s">
        <v>138</v>
      </c>
    </row>
    <row r="9" ht="60" customHeight="1" spans="1:6">
      <c r="A9" s="14">
        <v>2</v>
      </c>
      <c r="B9" s="14" t="s">
        <v>139</v>
      </c>
      <c r="C9" s="14" t="s">
        <v>140</v>
      </c>
      <c r="D9" s="14" t="s">
        <v>141</v>
      </c>
      <c r="E9" s="14" t="s">
        <v>142</v>
      </c>
      <c r="F9" s="14" t="s">
        <v>143</v>
      </c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 spans="1:1">
      <c r="A30" s="3" t="s">
        <v>144</v>
      </c>
    </row>
    <row r="31" ht="15.75" customHeight="1" spans="1:3">
      <c r="A31" s="12" t="s">
        <v>145</v>
      </c>
      <c r="B31" s="12" t="s">
        <v>146</v>
      </c>
      <c r="C31" s="12" t="s">
        <v>147</v>
      </c>
    </row>
    <row r="32" ht="15.75" customHeight="1" spans="1:3">
      <c r="A32" s="14" t="s">
        <v>148</v>
      </c>
      <c r="B32" s="14" t="s">
        <v>149</v>
      </c>
      <c r="C32" s="14" t="s">
        <v>150</v>
      </c>
    </row>
    <row r="33" ht="15.75" customHeight="1" spans="1:3">
      <c r="A33" s="14" t="s">
        <v>151</v>
      </c>
      <c r="B33" s="14" t="s">
        <v>152</v>
      </c>
      <c r="C33" s="14" t="s">
        <v>153</v>
      </c>
    </row>
    <row r="34" ht="15.75" customHeight="1" spans="1:3">
      <c r="A34" s="14" t="s">
        <v>154</v>
      </c>
      <c r="B34" s="14" t="s">
        <v>155</v>
      </c>
      <c r="C34" s="14" t="s">
        <v>156</v>
      </c>
    </row>
    <row r="35" ht="15.75" customHeight="1" spans="1:3">
      <c r="A35" s="14" t="s">
        <v>157</v>
      </c>
      <c r="B35" s="14" t="s">
        <v>158</v>
      </c>
      <c r="C35" s="14" t="s">
        <v>159</v>
      </c>
    </row>
    <row r="36" ht="15.75" customHeight="1" spans="1:3">
      <c r="A36" s="14" t="s">
        <v>114</v>
      </c>
      <c r="B36" s="14" t="s">
        <v>160</v>
      </c>
      <c r="C36" s="14" t="s">
        <v>161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workbookViewId="0">
      <selection activeCell="A1" sqref="A1:D1"/>
    </sheetView>
  </sheetViews>
  <sheetFormatPr defaultColWidth="14.4285714285714" defaultRowHeight="15" customHeight="1" outlineLevelCol="3"/>
  <cols>
    <col min="1" max="1" width="8" customWidth="1"/>
    <col min="2" max="2" width="60" customWidth="1"/>
    <col min="3" max="3" width="10" customWidth="1"/>
    <col min="4" max="4" width="30" customWidth="1"/>
    <col min="5" max="26" width="8.71428571428571" customWidth="1"/>
  </cols>
  <sheetData>
    <row r="1" ht="21" spans="1:1">
      <c r="A1" s="1" t="s">
        <v>162</v>
      </c>
    </row>
    <row r="2" spans="1:1">
      <c r="A2" s="2" t="s">
        <v>163</v>
      </c>
    </row>
    <row r="4" ht="18.75" spans="1:1">
      <c r="A4" s="3" t="s">
        <v>164</v>
      </c>
    </row>
    <row r="5" spans="1:4">
      <c r="A5" s="4" t="s">
        <v>165</v>
      </c>
      <c r="B5" s="5" t="s">
        <v>166</v>
      </c>
      <c r="C5" s="4" t="s">
        <v>167</v>
      </c>
      <c r="D5" s="5" t="s">
        <v>168</v>
      </c>
    </row>
    <row r="6" spans="1:4">
      <c r="A6" s="6" t="s">
        <v>169</v>
      </c>
      <c r="B6" s="7" t="s">
        <v>170</v>
      </c>
      <c r="C6" s="6" t="s">
        <v>171</v>
      </c>
      <c r="D6" s="7"/>
    </row>
    <row r="7" spans="1:4">
      <c r="A7" s="6" t="s">
        <v>172</v>
      </c>
      <c r="B7" s="7" t="s">
        <v>173</v>
      </c>
      <c r="C7" s="6" t="s">
        <v>171</v>
      </c>
      <c r="D7" s="7"/>
    </row>
    <row r="8" spans="1:4">
      <c r="A8" s="6" t="s">
        <v>174</v>
      </c>
      <c r="B8" s="7" t="s">
        <v>175</v>
      </c>
      <c r="C8" s="6" t="s">
        <v>171</v>
      </c>
      <c r="D8" s="7"/>
    </row>
    <row r="9" spans="1:4">
      <c r="A9" s="6" t="s">
        <v>176</v>
      </c>
      <c r="B9" s="7" t="s">
        <v>177</v>
      </c>
      <c r="C9" s="6" t="s">
        <v>171</v>
      </c>
      <c r="D9" s="7"/>
    </row>
    <row r="10" spans="1:4">
      <c r="A10" s="6" t="s">
        <v>178</v>
      </c>
      <c r="B10" s="7" t="s">
        <v>179</v>
      </c>
      <c r="C10" s="6" t="s">
        <v>171</v>
      </c>
      <c r="D10" s="7"/>
    </row>
    <row r="12" ht="18.75" spans="1:1">
      <c r="A12" s="3" t="s">
        <v>180</v>
      </c>
    </row>
    <row r="13" spans="1:4">
      <c r="A13" s="4" t="s">
        <v>165</v>
      </c>
      <c r="B13" s="5" t="s">
        <v>166</v>
      </c>
      <c r="C13" s="4" t="s">
        <v>167</v>
      </c>
      <c r="D13" s="5" t="s">
        <v>181</v>
      </c>
    </row>
    <row r="14" spans="1:4">
      <c r="A14" s="6" t="s">
        <v>169</v>
      </c>
      <c r="B14" s="7" t="s">
        <v>182</v>
      </c>
      <c r="C14" s="6" t="s">
        <v>171</v>
      </c>
      <c r="D14" s="7"/>
    </row>
    <row r="15" spans="1:4">
      <c r="A15" s="6" t="s">
        <v>172</v>
      </c>
      <c r="B15" s="7" t="s">
        <v>183</v>
      </c>
      <c r="C15" s="6" t="s">
        <v>171</v>
      </c>
      <c r="D15" s="7"/>
    </row>
    <row r="16" spans="1:4">
      <c r="A16" s="6" t="s">
        <v>174</v>
      </c>
      <c r="B16" s="7" t="s">
        <v>184</v>
      </c>
      <c r="C16" s="6" t="s">
        <v>171</v>
      </c>
      <c r="D16" s="7"/>
    </row>
    <row r="17" spans="1:4">
      <c r="A17" s="6" t="s">
        <v>176</v>
      </c>
      <c r="B17" s="7" t="s">
        <v>185</v>
      </c>
      <c r="C17" s="6" t="s">
        <v>171</v>
      </c>
      <c r="D17" s="7"/>
    </row>
    <row r="18" spans="1:4">
      <c r="A18" s="6" t="s">
        <v>178</v>
      </c>
      <c r="B18" s="7" t="s">
        <v>186</v>
      </c>
      <c r="C18" s="6" t="s">
        <v>171</v>
      </c>
      <c r="D18" s="7"/>
    </row>
    <row r="20" ht="15.75" spans="1:1">
      <c r="A20" s="8" t="s">
        <v>187</v>
      </c>
    </row>
    <row r="21" ht="15.75" customHeight="1" spans="1:1">
      <c r="A21" s="9" t="s">
        <v>188</v>
      </c>
    </row>
    <row r="22" ht="15.75" customHeight="1" spans="1:1">
      <c r="A22" s="9" t="s">
        <v>189</v>
      </c>
    </row>
    <row r="23" ht="15.75" customHeight="1"/>
    <row r="24" ht="15.75" customHeight="1"/>
    <row r="25" ht="15.75" customHeight="1" spans="1:1">
      <c r="A25" s="3" t="s">
        <v>190</v>
      </c>
    </row>
    <row r="26" ht="15.75" customHeight="1" spans="1:1">
      <c r="A26" s="10" t="s">
        <v>191</v>
      </c>
    </row>
    <row r="27" ht="15.75" customHeight="1" spans="1:4">
      <c r="A27" s="11" t="s">
        <v>41</v>
      </c>
      <c r="B27" s="12" t="s">
        <v>192</v>
      </c>
      <c r="C27" s="12" t="s">
        <v>193</v>
      </c>
      <c r="D27" s="12" t="s">
        <v>194</v>
      </c>
    </row>
    <row r="28" ht="15.75" customHeight="1" spans="1:4">
      <c r="A28" s="13" t="s">
        <v>195</v>
      </c>
      <c r="B28" s="14"/>
      <c r="C28" s="14"/>
      <c r="D28" s="14"/>
    </row>
    <row r="29" ht="15.75" customHeight="1" spans="1:4">
      <c r="A29" s="13" t="s">
        <v>196</v>
      </c>
      <c r="B29" s="14"/>
      <c r="C29" s="14"/>
      <c r="D29" s="14"/>
    </row>
    <row r="30" ht="15.75" customHeight="1" spans="1:4">
      <c r="A30" s="13" t="s">
        <v>197</v>
      </c>
      <c r="B30" s="14"/>
      <c r="C30" s="14"/>
      <c r="D30" s="1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2026-05-07T22:28:00Z</dcterms:created>
  <dcterms:modified xsi:type="dcterms:W3CDTF">2026-06-28T05:00:59Z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