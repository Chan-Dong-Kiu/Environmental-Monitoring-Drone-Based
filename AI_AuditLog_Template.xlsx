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150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44525"/>
</workbook>
</file>

<file path=xl/sharedStrings.xml><?xml version="1.0" encoding="utf-8"?>
<sst xmlns="http://schemas.openxmlformats.org/spreadsheetml/2006/main" count="255" uniqueCount="214">
  <si>
    <t>AI AUDIT LOG - METADATA &amp; SUMMARY</t>
  </si>
  <si>
    <t>STUDENT INFORMATION</t>
  </si>
  <si>
    <t>Student Name:</t>
  </si>
  <si>
    <t>Kiều Chấn Đông</t>
  </si>
  <si>
    <t>Student ID:</t>
  </si>
  <si>
    <t>SE201124</t>
  </si>
  <si>
    <t>Course:</t>
  </si>
  <si>
    <t>IOT102</t>
  </si>
  <si>
    <t>Assignment:</t>
  </si>
  <si>
    <t>Environmental Monitoring Drone Based</t>
  </si>
  <si>
    <t>AI USAGE SUMMARY</t>
  </si>
  <si>
    <t>Total Prompts Used (all AI tools):</t>
  </si>
  <si>
    <t>Core Prompts Logged:</t>
  </si>
  <si>
    <t>Selection Ratio:</t>
  </si>
  <si>
    <t>Hallucination Detected:</t>
  </si>
  <si>
    <t>AI TOOLS USED</t>
  </si>
  <si>
    <t>AI Tool</t>
  </si>
  <si>
    <t>Purpose</t>
  </si>
  <si>
    <t>Main Value</t>
  </si>
  <si>
    <t>ChatGPT</t>
  </si>
  <si>
    <t>Look up information nationwide, support learning</t>
  </si>
  <si>
    <t>High</t>
  </si>
  <si>
    <t>Rapid prototyping</t>
  </si>
  <si>
    <t>GitHub Copilot</t>
  </si>
  <si>
    <t>Auto-completion, Image creation</t>
  </si>
  <si>
    <t>Medium</t>
  </si>
  <si>
    <t>Speed up coding</t>
  </si>
  <si>
    <t>Google Gemini</t>
  </si>
  <si>
    <t>Hardware debugging, architectual advise</t>
  </si>
  <si>
    <t>Deep technical analysist of hardware-software interaction</t>
  </si>
  <si>
    <t>Anthropic Claude</t>
  </si>
  <si>
    <t>Code review, logic optimization</t>
  </si>
  <si>
    <t>High-quality code generation and logic refinement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</si>
  <si>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</si>
  <si>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</si>
  <si>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</si>
  <si>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</si>
  <si>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</si>
  <si>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</si>
  <si>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</si>
  <si>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</si>
  <si>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</si>
  <si>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</si>
  <si>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</si>
  <si>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</si>
  <si>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</si>
  <si>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</si>
  <si>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</si>
  <si>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</si>
  <si>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</si>
  <si>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</si>
  <si>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</si>
  <si>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</si>
  <si>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 xml:space="preserve">DECISION
</t>
  </si>
  <si>
    <t>Algorithm Design (Data Processing)</t>
  </si>
  <si>
    <t>The BMP280 pressure was displayed in hPa, but we wanted Pascal (Pa). The forecast algorithm also needed to be scaled accordingly.</t>
  </si>
  <si>
    <t>Please ensure everywhere in the project, including the serial monitor, pressure is in Pa to match the BMP280, and check the altitude calculation.</t>
  </si>
  <si>
    <t>AI provided a multi-file replacement plan, removing the `/ 100.0F` division, updating HTML UI to "Pa", and scaling the JS forecast thresholds (e.g., 1013 to 101300).</t>
  </si>
  <si>
    <t>Critical Thinking: The AI correctly identified all files needing changes. Contextualization: Scaling the JS thresholds was crucial to prevent the forecast logic from breaking. Synthesis &amp; Decision: Applied the changes, ensuring consistency across C++, HTML, and JS.</t>
  </si>
  <si>
    <t>Github commit reverting pressure to raw Pascal (Pa).</t>
  </si>
  <si>
    <t>002</t>
  </si>
  <si>
    <t>PROBLEM-SOLVING</t>
  </si>
  <si>
    <t>Pattern Recognition (Cloud Integration)</t>
  </si>
  <si>
    <t>The GCS ESP32 was failing to upload to ThingSpeak, throwing HTTP error -301 despite having the correct API key.</t>
  </si>
  <si>
    <t>I entered the correct ID and API key, but my account hasn't been added to the channel. Is this the cause of error -301?</t>
  </si>
  <si>
    <t>AI confirmed that ThingSpeak uses an ownership model, so if the account is not added as a contributor to the channel, it will reject the Write API Key with a -301 error.</t>
  </si>
  <si>
    <t>Critical Thinking: AI correctly pinpointed the -301 error code as an authentication failure, not a network issue. Contextualization: The project uses a shared team channel, requiring contributor access. Decision: Asked the channel owner to grant write access to my email, solving the issue.</t>
  </si>
  <si>
    <t>ThingSpeak channel sharing settings &amp; successful upload logs.</t>
  </si>
  <si>
    <t>003</t>
  </si>
  <si>
    <t>Decomposition (Hardware Debugging)</t>
  </si>
  <si>
    <t>HC-12 radio communication failed. Payload was sending AT but getting no OK. GCS was receiving garbage characters (square boxes).</t>
  </si>
  <si>
    <t>On the left is payload, right is GCS. Payload sends little, GCS receives garbage. Payload doesn't receive what GCS sends.</t>
  </si>
  <si>
    <t>AI identified a baud rate mismatch. It broke the problem down, explaining that garbage chars mean RF is working but baud is mismatched. It provided step-by-step instructions to factory reset both HC-12s using the SET pin.</t>
  </si>
  <si>
    <t xml:space="preserve">Critical Thinking: AI's deduction that garbage = successful RF link but wrong baud rate was spot on. Decomposition: We separated the GCS and Payload troubleshooting, resetting them one by one. Decision: Followed the reset procedure to sync both modules to 9600 baud.
</t>
  </si>
  <si>
    <t xml:space="preserve">Serial monitor screenshots showing garbage chars vs clean text.
</t>
  </si>
  <si>
    <t>004</t>
  </si>
  <si>
    <t xml:space="preserve">Algorithm Design (Serial Communication)
</t>
  </si>
  <si>
    <t xml:space="preserve">Sending AT to HC-12 via the Serial Monitor yielded no OK response during the reset procedure.
</t>
  </si>
  <si>
    <t xml:space="preserve">At the payload, I send AT but receive nothing.
</t>
  </si>
  <si>
    <t xml:space="preserve">AI recognized that println() was appending \r\n, which choked the HC-12 AT parser. It provided a pure byte-for-byte passthrough algorithm (write(read())) to bypass string formatting.
</t>
  </si>
  <si>
    <t xml:space="preserve">Critical Thinking: The standard readStringUntil logic was modifying the raw commands. Algorithm Design: The pure passthrough loop is a much more robust algorithm for configuring hardware modules. Decision: Rewrote the test scripts to pure passthrough, and successfully entered AT mode.
</t>
  </si>
  <si>
    <t xml:space="preserve">Commit "Rewrite HC12 tests to pure UART passthrough".
</t>
  </si>
  <si>
    <t>005</t>
  </si>
  <si>
    <t xml:space="preserve">Decomposition (Power Management)
</t>
  </si>
  <si>
    <t xml:space="preserve">The Payload ESP32 continuously rebooted whenever the ENV Mode (Environment Mode) was turned on.
</t>
  </si>
  <si>
    <t xml:space="preserve">When uploading payload code, everything is normal until I turn ENV mode on, then the payload auto-resets continuously.
</t>
  </si>
  <si>
    <t xml:space="preserve">AI decomposed the ENV_MODE_ON trigger and identified the DHT11 sensor as the culprit. Hypothesized a hardware short circuit pulling the 3.3V rail low when ESP32 drives the DHT11 data pin, causing a brownout reset. Suggested unplugging DHT11 to isolate the fault.
</t>
  </si>
  <si>
    <t>Critical Thinking: The AI didn't blame the code but recognized a hardware brownout pattern. Decomposition: Isolating the DHT11 by unplugging it immediately stopped the reboots, confirming the hypothesis. Decision: Re-wired the DHT11 correctly.</t>
  </si>
  <si>
    <t xml:space="preserve">Serial logs showing boot loops stopping after DHT11 removal.
</t>
  </si>
  <si>
    <t>006</t>
  </si>
  <si>
    <t xml:space="preserve">Pattern Recognition (Sensor Interfacing)
</t>
  </si>
  <si>
    <t xml:space="preserve">After fixing the reset issue, the BMP280 and DHT11 both returned nan (Not a Number), while the SRF05 altitude worked fine.
</t>
  </si>
  <si>
    <t xml:space="preserve">Except for altitude, all other parameters are nan, whereas yesterday it worked.
</t>
  </si>
  <si>
    <t xml:space="preserve">AI recognized the pattern: both nan sensors run on 3.3V. It deduced that while unplugging the DHT11, I likely accidentally unplugged the shared 3.3V or GND wire on the breadboard, killing power to the BMP280 as well.
</t>
  </si>
  <si>
    <t xml:space="preserve">Critical Thinking: AI correctly mapped the nan software error to a physical power rail disconnection. Pattern Recognition: Both failed sensors shared the same power rail, while the working one (SRF05) used 5V. Decision: Pushed the jumper wires firmly into the 3.3V rail, restoring sensor data.
</t>
  </si>
  <si>
    <t xml:space="preserve">Screenshot of nan values and subsequent valid readings.
</t>
  </si>
  <si>
    <t>007</t>
  </si>
  <si>
    <t xml:space="preserve">PROBLEM-SOLVING
</t>
  </si>
  <si>
    <t xml:space="preserve">Pattern Recognition (UART Noise)
</t>
  </si>
  <si>
    <t xml:space="preserve">The HC-12 on the payload started printing a continuous, infinite stream of square boxes without any user input.
</t>
  </si>
  <si>
    <t xml:space="preserve">HC-12 on payload is failing again (infinite square boxes on screen).
</t>
  </si>
  <si>
    <t xml:space="preserve">AI identified the classic pattern of a "floating RX pin" or a disconnected GND wire between the HC-12 and ESP32, which acts as an antenna picking up electromagnetic noise and interpreting it as random UART bytes.
</t>
  </si>
  <si>
    <t xml:space="preserve">Critical Thinking: Infinite garbage without input is a distinct hardware noise signature. Pattern Recognition: AI matched this to a floating ground or RX pin. Decision: Reconnected the loose GND wire on the HC-12, immediately stopping the garbage spam.
</t>
  </si>
  <si>
    <t xml:space="preserve">Serial monitor screenshot showing infinite square boxes.
</t>
  </si>
  <si>
    <t>008</t>
  </si>
  <si>
    <t xml:space="preserve">Algorithm Design (UART Framing)
</t>
  </si>
  <si>
    <t xml:space="preserve">The atomizer was flashing on and off unstably when turned on, despite GCS sending valid commands.
</t>
  </si>
  <si>
    <t xml:space="preserve">I notice the atomizer flashes on and off instead of staying on continuously. Please check the code flow.
</t>
  </si>
  <si>
    <t xml:space="preserve">AI analyzed the UART buffer and found a logic flaw: clearing the backlog blindly caused packet misalignment. It designed a frame synchronization algorithm using peek() == 1 to align incoming data with the GCSCommand struct.
</t>
  </si>
  <si>
    <t xml:space="preserve">Critical Thinking: The AI found a subtle race condition in UART parsing where partial packets corrupted the struct fields. Algorithm Design: Implementing a sync byte is a standard and robust algorithm for serial protocols. Decision: Applied the frame sync fix, completely resolving the flickering.
</t>
  </si>
  <si>
    <t xml:space="preserve">Commit "Fix UART alignment bug causing atomizer to flicker".
</t>
  </si>
  <si>
    <t>009</t>
  </si>
  <si>
    <t xml:space="preserve">Abstraction (System Architecture)
</t>
  </si>
  <si>
    <t xml:space="preserve">Evaluating the power distribution layout: BMP280, HC-12, DHT11 on 3.3V; SRF05 and Atomizer on VIN (5V).
</t>
  </si>
  <si>
    <t xml:space="preserve">Currently BMP280, HC-12, DHT11 are on 3.3v and SRF05, Atomizer on VIN. Do you see anything wrong?
</t>
  </si>
  <si>
    <t xml:space="preserve">AI praised the layout, explaining the abstraction of "Power Isolation". Putting the HC-12 on the 3.3V LDO regulator filters out the massive voltage spikes caused by the 5V Atomizer, ensuring radio stability. Also noted that 3.3V sensors perfectly match the ESP32's logic level.
</t>
  </si>
  <si>
    <t xml:space="preserve">Critical Thinking: AI highlighted the hidden benefits of power isolation and logic level matching. Abstraction: Viewing the 3.3V LDO as a noise filter rather than just a power source was a great architectural insight. Decision: Kept the power distribution exactly as is.
</t>
  </si>
  <si>
    <t xml:space="preserve">Hardware schematic and stable operation logs.
</t>
  </si>
  <si>
    <t>010</t>
  </si>
  <si>
    <t>VERIFICATION</t>
  </si>
  <si>
    <t xml:space="preserve">Abstraction (Safety Mechanisms)
</t>
  </si>
  <si>
    <t xml:space="preserve">Wanted to add a fail-safe notification on the Payload if it loses connection with the GCS.
</t>
  </si>
  <si>
    <t xml:space="preserve">I want to add a notification line on the payload if it doesn't receive a signal from GCS, so I know to fix it.
</t>
  </si>
  <si>
    <t xml:space="preserve">AI abstracted the connection state by implementing a software watchdog. It tracked last_rx_time and added logic to print a warning every 3 seconds if the timeout is exceeded.
</t>
  </si>
  <si>
    <t xml:space="preserve">Critical Thinking: A simple timeout check is highly effective and non-blocking. Abstraction: Abstracting connection lost to a simple millis() delta avoids complex bidirectional ping-pong protocols. Decision: Added the watchdog code, which successfully alerted me when I turned off the GCS.
</t>
  </si>
  <si>
    <t xml:space="preserve">Commit "Add connection timeout warning to Payload serial monitor".
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</si>
  <si>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</si>
  <si>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</si>
  <si>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</si>
  <si>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</si>
  <si>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</si>
  <si>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</si>
  <si>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</si>
  <si>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</si>
  <si>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 xml:space="preserve">Fabrication (Fake Citation)
</t>
  </si>
  <si>
    <t xml:space="preserve">AI suggested reading a paper titled "UAV-based Environmental Monitoring Frameworks" by Nguyen et al. 2023, IEEE Sensors.
</t>
  </si>
  <si>
    <t xml:space="preserve">The paper does not exist. A search on IEEE Xplore yielded no results for that title or author combination.
</t>
  </si>
  <si>
    <t xml:space="preserve">Searched the exact title on Google Scholar and IEEE Xplore.
</t>
  </si>
  <si>
    <t xml:space="preserve">Ignored the fake citation and manually searched IEEE for real papers on drone environmental monitoring.
</t>
  </si>
  <si>
    <t xml:space="preserve">Context Misunderstanding
</t>
  </si>
  <si>
    <t>AI suggested using WiFi.begin() on the Payload ESP32 to transmit sensor data directly to the cloud.</t>
  </si>
  <si>
    <t xml:space="preserve">The drone payload operates high in the air, far outside the range of any home WiFi network. It MUST use the HC-12 radio to send data to the GCS on the ground.
</t>
  </si>
  <si>
    <t xml:space="preserve">Reviewed the project architecture diagram which clearly shows Payload -&gt; HC-12 -&gt; GCS -&gt; WiFi.
</t>
  </si>
  <si>
    <t xml:space="preserve">Rejected the WiFi code and prompted the AI to use HC12Serial.write() instead.
</t>
  </si>
  <si>
    <t xml:space="preserve">Hardware Capability Hallucination
</t>
  </si>
  <si>
    <t xml:space="preserve">AI stated the ESP32 can supply up to 2 Amps from its 3.3V pin to power the Atomizer directly.
</t>
  </si>
  <si>
    <t xml:space="preserve">The ESP32 onboard AMS1117 3.3V regulator maxes out at ~600mA-800mA. Drawing 2A would instantly fry the regulator.
</t>
  </si>
  <si>
    <t xml:space="preserve">Checked the ESP32 DevKit V1 schematic and the AMS1117 datasheet.
</t>
  </si>
  <si>
    <t xml:space="preserve">Powered the Atomizer directly from a dedicated 5V buck converter and controlled it via a MOSFET.
</t>
  </si>
  <si>
    <t xml:space="preserve">Software API Hallucination
</t>
  </si>
  <si>
    <t xml:space="preserve">AI provided code using HC12Serial.setBaudRate(9600) to dynamically change the radio baud rate on the fly.
</t>
  </si>
  <si>
    <t xml:space="preserve">The HC-12 module does not support software-only baud rate changes via an API method. It requires the physical SET pin to be pulled LOW to enter AT command mode.
</t>
  </si>
  <si>
    <t xml:space="preserve">Checked the SoftwareSerial/HardwareSerial documentation and the HC-12 datasheet.
</t>
  </si>
  <si>
    <t xml:space="preserve">Ignored the fake method and manually wired the SET pin to GND to send AT+DEFAULT.
</t>
  </si>
  <si>
    <t xml:space="preserve">AI suggested adding delay(2000) in the main loop to wait for the DHT11 sensor to stabilize between readings.
</t>
  </si>
  <si>
    <t xml:space="preserve">Using a 2-second blocking delay in the same loop that forwards flight commands to the Flight Controller would cause the drone to crash instantly due to control unresponsiveness.
</t>
  </si>
  <si>
    <t xml:space="preserve">Traced the FreeRTOS task execution flow and realized delay() blocks the entire task.
</t>
  </si>
  <si>
    <t xml:space="preserve">Replaced the blocking delay with a non-blocking millis() timer or vTaskDelay on a separate FreeRTOS task.
</t>
  </si>
  <si>
    <t xml:space="preserve">AI suggested connecting the HC-12 TX pin to GPIO 34 on the ESP32 for UART communication.
</t>
  </si>
  <si>
    <t xml:space="preserve">GPIOs 34, 35, 36, 39 on the ESP32 are INPUT-ONLY pins. They lack the internal circuitry to output data, so TX cannot function on GPIO 34.
</t>
  </si>
  <si>
    <t xml:space="preserve">Consulted the ESP32 pinout diagram which marks pins 34-39 as input only.
</t>
  </si>
  <si>
    <t xml:space="preserve">Re-assigned the HC-12 TX/RX pins to GPIO 32 and 33, which support full bidirectional UART.
</t>
  </si>
  <si>
    <t>HALLUCINATION TYPES REFERENCE:</t>
  </si>
  <si>
    <t>Type</t>
  </si>
  <si>
    <t>Definition</t>
  </si>
  <si>
    <t>Example</t>
  </si>
  <si>
    <t>Fabrication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</si>
  <si>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</si>
  <si>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</si>
  <si>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</si>
  <si>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</si>
  <si>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</si>
  <si>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</si>
  <si>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</si>
  <si>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</si>
  <si>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</si>
  <si>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</si>
  <si>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</si>
  <si>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</si>
  <si>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</si>
  <si>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</si>
  <si>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</si>
  <si>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</si>
  <si>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</si>
  <si>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</si>
  <si>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</si>
  <si>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</si>
  <si>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</si>
  <si>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</si>
  <si>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</si>
  <si>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x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</si>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</sst>
</file>

<file path=xl/styles.xml><?xml version="1.0" encoding="utf-8"?>
<styleSheet xmlns="http://schemas.openxmlformats.org/spreadsheetml/2006/main">
  <numFmts count="5">
    <numFmt numFmtId="176" formatCode="0.0%"/>
    <numFmt numFmtId="44" formatCode="_(&quot;$&quot;* #,##0.00_);_(&quot;$&quot;* \(#,##0.00\);_(&quot;$&quot;* &quot;-&quot;??_);_(@_)"/>
    <numFmt numFmtId="177" formatCode="_ * #,##0_ ;_ * \-#,##0_ ;_ * &quot;-&quot;_ ;_ @_ "/>
    <numFmt numFmtId="42" formatCode="_(&quot;$&quot;* #,##0_);_(&quot;$&quot;* \(#,##0\);_(&quot;$&quot;* &quot;-&quot;_);_(@_)"/>
    <numFmt numFmtId="178" formatCode="_ * #,##0.00_ ;_ * \-#,##0.00_ ;_ * &quot;-&quot;??_ ;_ @_ "/>
  </numFmts>
  <fonts count="36">
    <font>
      <sz val="11"/>
      <color theme="1"/>
      <name val="Calibri"/>
      <charset val="134"/>
      <scheme val="minor"/>
    </font>
    <font>
      <b/>
      <sz val="16"/>
      <color rgb="FF2E75B6"/>
      <name val="Calibri"/>
      <charset val="134"/>
      <scheme val="minor"/>
    </font>
    <font>
      <i/>
      <sz val="10"/>
      <color rgb="FF666666"/>
      <name val="Calibri"/>
      <charset val="134"/>
      <scheme val="minor"/>
    </font>
    <font>
      <b/>
      <sz val="14"/>
      <color rgb="FF2E75B6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i/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6"/>
      <color rgb="FFFF0000"/>
      <name val="Calibri"/>
      <charset val="134"/>
      <scheme val="minor"/>
    </font>
    <font>
      <b/>
      <i/>
      <sz val="10"/>
      <color rgb="FFFF0000"/>
      <name val="Calibri"/>
      <charset val="134"/>
      <scheme val="minor"/>
    </font>
    <font>
      <b/>
      <sz val="11"/>
      <color theme="1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i/>
      <sz val="9"/>
      <color rgb="FF666666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20" fillId="8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1" fillId="27" borderId="9" applyNumberFormat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0" borderId="10" applyNumberFormat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35" fillId="30" borderId="9" applyNumberFormat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</cellStyleXfs>
  <cellXfs count="30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49" fontId="13" fillId="4" borderId="2" xfId="0" applyNumberFormat="1" applyFont="1" applyFill="1" applyBorder="1" applyAlignment="1">
      <alignment vertical="top" wrapText="1"/>
    </xf>
    <xf numFmtId="0" fontId="14" fillId="4" borderId="2" xfId="0" applyFont="1" applyFill="1" applyBorder="1" applyAlignment="1">
      <alignment vertical="top" wrapText="1"/>
    </xf>
    <xf numFmtId="49" fontId="10" fillId="0" borderId="1" xfId="0" applyNumberFormat="1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5" fillId="4" borderId="1" xfId="0" applyFont="1" applyFill="1" applyBorder="1" applyAlignment="1">
      <alignment horizontal="left" vertical="top" wrapText="1"/>
    </xf>
    <xf numFmtId="0" fontId="15" fillId="4" borderId="2" xfId="0" applyFont="1" applyFill="1" applyBorder="1" applyAlignment="1">
      <alignment vertical="top"/>
    </xf>
    <xf numFmtId="0" fontId="13" fillId="0" borderId="1" xfId="0" applyFont="1" applyBorder="1" applyAlignment="1">
      <alignment horizontal="left" vertical="top" wrapText="1"/>
    </xf>
    <xf numFmtId="0" fontId="9" fillId="0" borderId="0" xfId="0" applyFont="1"/>
    <xf numFmtId="0" fontId="10" fillId="5" borderId="0" xfId="0" applyFont="1" applyFill="1" applyBorder="1" applyAlignment="1"/>
    <xf numFmtId="176" fontId="10" fillId="0" borderId="0" xfId="0" applyNumberFormat="1" applyFont="1"/>
    <xf numFmtId="0" fontId="16" fillId="0" borderId="0" xfId="0" applyFont="1"/>
    <xf numFmtId="0" fontId="10" fillId="0" borderId="0" xfId="0" applyFont="1" applyAlignment="1">
      <alignment horizontal="left" vertical="top" wrapText="1"/>
    </xf>
    <xf numFmtId="0" fontId="10" fillId="5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1001"/>
  <sheetViews>
    <sheetView tabSelected="1" topLeftCell="A5" workbookViewId="0">
      <selection activeCell="E12" sqref="E12"/>
    </sheetView>
  </sheetViews>
  <sheetFormatPr defaultColWidth="14.4272727272727" defaultRowHeight="15" customHeight="1" outlineLevelCol="5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  <col min="7" max="26" width="8.71818181818182" customWidth="1"/>
  </cols>
  <sheetData>
    <row r="1" ht="21" spans="1:1">
      <c r="A1" s="1" t="s">
        <v>0</v>
      </c>
    </row>
    <row r="3" ht="18.5" spans="1:1">
      <c r="A3" s="3" t="s">
        <v>1</v>
      </c>
    </row>
    <row r="4" ht="29.25" customHeight="1" spans="1:3">
      <c r="A4" s="24" t="s">
        <v>2</v>
      </c>
      <c r="C4" t="s">
        <v>3</v>
      </c>
    </row>
    <row r="5" spans="1:3">
      <c r="A5" s="24" t="s">
        <v>4</v>
      </c>
      <c r="C5" t="s">
        <v>5</v>
      </c>
    </row>
    <row r="6" ht="14.5" spans="1:3">
      <c r="A6" s="24" t="s">
        <v>6</v>
      </c>
      <c r="C6" t="s">
        <v>7</v>
      </c>
    </row>
    <row r="7" spans="1:3">
      <c r="A7" s="24" t="s">
        <v>8</v>
      </c>
      <c r="C7" t="s">
        <v>9</v>
      </c>
    </row>
    <row r="9" ht="18.5" spans="1:1">
      <c r="A9" s="3" t="s">
        <v>10</v>
      </c>
    </row>
    <row r="10" spans="1:3">
      <c r="A10" s="24" t="s">
        <v>11</v>
      </c>
      <c r="C10">
        <v>80</v>
      </c>
    </row>
    <row r="11" spans="1:3">
      <c r="A11" s="24" t="s">
        <v>12</v>
      </c>
      <c r="C11" s="25">
        <v>10</v>
      </c>
    </row>
    <row r="12" spans="1:5">
      <c r="A12" s="24" t="s">
        <v>13</v>
      </c>
      <c r="C12" s="26">
        <f>C11/C10</f>
        <v>0.125</v>
      </c>
      <c r="E12" s="27"/>
    </row>
    <row r="13" spans="1:3">
      <c r="A13" s="24" t="s">
        <v>14</v>
      </c>
      <c r="C13" s="25">
        <v>6</v>
      </c>
    </row>
    <row r="15" ht="18.5" spans="1:1">
      <c r="A15" s="3" t="s">
        <v>15</v>
      </c>
    </row>
    <row r="16" ht="14.5" spans="1:4">
      <c r="A16" s="4" t="s">
        <v>16</v>
      </c>
      <c r="B16" s="4" t="s">
        <v>17</v>
      </c>
      <c r="C16" s="4" t="s">
        <v>17</v>
      </c>
      <c r="D16" s="4" t="s">
        <v>18</v>
      </c>
    </row>
    <row r="17" ht="29" spans="1:4">
      <c r="A17" s="14" t="s">
        <v>19</v>
      </c>
      <c r="B17" s="14" t="s">
        <v>20</v>
      </c>
      <c r="C17" s="14" t="s">
        <v>21</v>
      </c>
      <c r="D17" s="14" t="s">
        <v>22</v>
      </c>
    </row>
    <row r="18" ht="14.5" spans="1:4">
      <c r="A18" s="14" t="s">
        <v>23</v>
      </c>
      <c r="B18" s="14" t="s">
        <v>24</v>
      </c>
      <c r="C18" s="14" t="s">
        <v>25</v>
      </c>
      <c r="D18" s="14" t="s">
        <v>26</v>
      </c>
    </row>
    <row r="19" ht="29" spans="1:4">
      <c r="A19" s="14" t="s">
        <v>27</v>
      </c>
      <c r="B19" s="14" t="s">
        <v>28</v>
      </c>
      <c r="C19" s="14" t="s">
        <v>21</v>
      </c>
      <c r="D19" s="14" t="s">
        <v>29</v>
      </c>
    </row>
    <row r="20" ht="29" spans="1:4">
      <c r="A20" s="28" t="s">
        <v>30</v>
      </c>
      <c r="B20" s="28" t="s">
        <v>31</v>
      </c>
      <c r="C20" s="28" t="s">
        <v>21</v>
      </c>
      <c r="D20" s="28" t="s">
        <v>32</v>
      </c>
    </row>
    <row r="21" spans="1:4">
      <c r="A21" s="28"/>
      <c r="B21" s="28"/>
      <c r="C21" s="28"/>
      <c r="D21" s="28"/>
    </row>
    <row r="22" ht="15.75" customHeight="1"/>
    <row r="23" ht="15.75" customHeight="1" spans="1:1">
      <c r="A23" s="3" t="s">
        <v>33</v>
      </c>
    </row>
    <row r="24" ht="15.75" customHeight="1" spans="1:3">
      <c r="A24" s="4" t="s">
        <v>34</v>
      </c>
      <c r="B24" s="4" t="s">
        <v>35</v>
      </c>
      <c r="C24" s="4" t="s">
        <v>36</v>
      </c>
    </row>
    <row r="25" ht="15.75" customHeight="1" spans="1:3">
      <c r="A25" s="14" t="s">
        <v>37</v>
      </c>
      <c r="B25" s="29">
        <v>2</v>
      </c>
      <c r="C25" s="13" t="s">
        <v>38</v>
      </c>
    </row>
    <row r="26" ht="15.75" customHeight="1" spans="1:3">
      <c r="A26" s="14" t="s">
        <v>39</v>
      </c>
      <c r="B26" s="29">
        <v>3</v>
      </c>
      <c r="C26" s="13" t="s">
        <v>38</v>
      </c>
    </row>
    <row r="27" ht="15.75" customHeight="1" spans="1:3">
      <c r="A27" s="14" t="s">
        <v>40</v>
      </c>
      <c r="B27" s="29">
        <v>2</v>
      </c>
      <c r="C27" s="13" t="s">
        <v>38</v>
      </c>
    </row>
    <row r="28" ht="15.75" customHeight="1" spans="1:3">
      <c r="A28" s="14" t="s">
        <v>41</v>
      </c>
      <c r="B28" s="29">
        <v>3</v>
      </c>
      <c r="C28" s="13" t="s">
        <v>38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F1"/>
  </mergeCells>
  <pageMargins left="0.7" right="0.7" top="0.75" bottom="0.75" header="0" footer="0"/>
  <pageSetup paperSize="9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0"/>
  <sheetViews>
    <sheetView workbookViewId="0">
      <selection activeCell="H13" sqref="H13"/>
    </sheetView>
  </sheetViews>
  <sheetFormatPr defaultColWidth="14.4272727272727" defaultRowHeight="15" customHeight="1" outlineLevelCol="7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65.4272727272727" customWidth="1"/>
    <col min="8" max="8" width="20" customWidth="1"/>
    <col min="9" max="26" width="8.71818181818182" customWidth="1"/>
  </cols>
  <sheetData>
    <row r="1" ht="21" spans="1:1">
      <c r="A1" s="1" t="s">
        <v>42</v>
      </c>
    </row>
    <row r="2" ht="30" customHeight="1" spans="1:1">
      <c r="A2" s="20" t="s">
        <v>43</v>
      </c>
    </row>
    <row r="3" ht="39.75" customHeight="1" spans="1:8">
      <c r="A3" s="4" t="s">
        <v>44</v>
      </c>
      <c r="B3" s="4" t="s">
        <v>45</v>
      </c>
      <c r="C3" s="4" t="s">
        <v>46</v>
      </c>
      <c r="D3" s="4" t="s">
        <v>47</v>
      </c>
      <c r="E3" s="4" t="s">
        <v>48</v>
      </c>
      <c r="F3" s="4" t="s">
        <v>49</v>
      </c>
      <c r="G3" s="4" t="s">
        <v>50</v>
      </c>
      <c r="H3" s="4" t="s">
        <v>51</v>
      </c>
    </row>
    <row r="4" ht="99.75" customHeight="1" spans="1:8">
      <c r="A4" s="14" t="s">
        <v>52</v>
      </c>
      <c r="B4" s="21" t="s">
        <v>53</v>
      </c>
      <c r="C4" s="18" t="s">
        <v>54</v>
      </c>
      <c r="D4" s="18" t="s">
        <v>55</v>
      </c>
      <c r="E4" s="18" t="s">
        <v>56</v>
      </c>
      <c r="F4" s="18" t="s">
        <v>57</v>
      </c>
      <c r="G4" s="18" t="s">
        <v>58</v>
      </c>
      <c r="H4" s="18" t="s">
        <v>59</v>
      </c>
    </row>
    <row r="5" ht="99.75" customHeight="1" spans="1:8">
      <c r="A5" s="14" t="s">
        <v>60</v>
      </c>
      <c r="B5" s="22" t="s">
        <v>61</v>
      </c>
      <c r="C5" s="18" t="s">
        <v>62</v>
      </c>
      <c r="D5" s="18" t="s">
        <v>63</v>
      </c>
      <c r="E5" s="18" t="s">
        <v>64</v>
      </c>
      <c r="F5" s="18" t="s">
        <v>65</v>
      </c>
      <c r="G5" s="18" t="s">
        <v>66</v>
      </c>
      <c r="H5" s="18" t="s">
        <v>67</v>
      </c>
    </row>
    <row r="6" ht="99.75" customHeight="1" spans="1:8">
      <c r="A6" s="19" t="s">
        <v>68</v>
      </c>
      <c r="B6" s="22" t="s">
        <v>61</v>
      </c>
      <c r="C6" s="18" t="s">
        <v>69</v>
      </c>
      <c r="D6" s="18" t="s">
        <v>70</v>
      </c>
      <c r="E6" s="18" t="s">
        <v>71</v>
      </c>
      <c r="F6" s="18" t="s">
        <v>72</v>
      </c>
      <c r="G6" s="18" t="s">
        <v>73</v>
      </c>
      <c r="H6" s="18" t="s">
        <v>74</v>
      </c>
    </row>
    <row r="7" ht="79.5" customHeight="1" spans="1:8">
      <c r="A7" s="19" t="s">
        <v>75</v>
      </c>
      <c r="B7" s="22" t="s">
        <v>61</v>
      </c>
      <c r="C7" s="18" t="s">
        <v>76</v>
      </c>
      <c r="D7" s="18" t="s">
        <v>77</v>
      </c>
      <c r="E7" s="18" t="s">
        <v>78</v>
      </c>
      <c r="F7" s="18" t="s">
        <v>79</v>
      </c>
      <c r="G7" s="18" t="s">
        <v>80</v>
      </c>
      <c r="H7" s="18" t="s">
        <v>81</v>
      </c>
    </row>
    <row r="8" ht="79.5" customHeight="1" spans="1:8">
      <c r="A8" s="19" t="s">
        <v>82</v>
      </c>
      <c r="B8" s="22" t="s">
        <v>61</v>
      </c>
      <c r="C8" s="18" t="s">
        <v>83</v>
      </c>
      <c r="D8" s="18" t="s">
        <v>84</v>
      </c>
      <c r="E8" s="18" t="s">
        <v>85</v>
      </c>
      <c r="F8" s="18" t="s">
        <v>86</v>
      </c>
      <c r="G8" s="18" t="s">
        <v>87</v>
      </c>
      <c r="H8" s="18" t="s">
        <v>88</v>
      </c>
    </row>
    <row r="9" ht="79.5" customHeight="1" spans="1:8">
      <c r="A9" s="19" t="s">
        <v>89</v>
      </c>
      <c r="B9" s="22" t="s">
        <v>61</v>
      </c>
      <c r="C9" s="18" t="s">
        <v>90</v>
      </c>
      <c r="D9" s="18" t="s">
        <v>91</v>
      </c>
      <c r="E9" s="18" t="s">
        <v>92</v>
      </c>
      <c r="F9" s="18" t="s">
        <v>93</v>
      </c>
      <c r="G9" s="18" t="s">
        <v>94</v>
      </c>
      <c r="H9" s="18" t="s">
        <v>95</v>
      </c>
    </row>
    <row r="10" ht="79.5" customHeight="1" spans="1:8">
      <c r="A10" s="19" t="s">
        <v>96</v>
      </c>
      <c r="B10" s="23" t="s">
        <v>97</v>
      </c>
      <c r="C10" s="14" t="s">
        <v>98</v>
      </c>
      <c r="D10" s="14" t="s">
        <v>99</v>
      </c>
      <c r="E10" s="14" t="s">
        <v>100</v>
      </c>
      <c r="F10" s="14" t="s">
        <v>101</v>
      </c>
      <c r="G10" s="14" t="s">
        <v>102</v>
      </c>
      <c r="H10" s="14" t="s">
        <v>103</v>
      </c>
    </row>
    <row r="11" ht="79.5" customHeight="1" spans="1:8">
      <c r="A11" s="19" t="s">
        <v>104</v>
      </c>
      <c r="B11" s="23" t="s">
        <v>97</v>
      </c>
      <c r="C11" s="14" t="s">
        <v>105</v>
      </c>
      <c r="D11" s="14" t="s">
        <v>106</v>
      </c>
      <c r="E11" s="14" t="s">
        <v>107</v>
      </c>
      <c r="F11" s="14" t="s">
        <v>108</v>
      </c>
      <c r="G11" s="14" t="s">
        <v>109</v>
      </c>
      <c r="H11" s="14" t="s">
        <v>110</v>
      </c>
    </row>
    <row r="12" ht="79.5" customHeight="1" spans="1:8">
      <c r="A12" s="19" t="s">
        <v>111</v>
      </c>
      <c r="B12" s="23" t="s">
        <v>53</v>
      </c>
      <c r="C12" s="14" t="s">
        <v>112</v>
      </c>
      <c r="D12" s="14" t="s">
        <v>113</v>
      </c>
      <c r="E12" s="14" t="s">
        <v>114</v>
      </c>
      <c r="F12" s="14" t="s">
        <v>115</v>
      </c>
      <c r="G12" s="14" t="s">
        <v>116</v>
      </c>
      <c r="H12" s="14" t="s">
        <v>117</v>
      </c>
    </row>
    <row r="13" ht="79.5" customHeight="1" spans="1:8">
      <c r="A13" s="19" t="s">
        <v>118</v>
      </c>
      <c r="B13" s="23" t="s">
        <v>119</v>
      </c>
      <c r="C13" s="14" t="s">
        <v>120</v>
      </c>
      <c r="D13" s="14" t="s">
        <v>121</v>
      </c>
      <c r="E13" s="14" t="s">
        <v>122</v>
      </c>
      <c r="F13" s="14" t="s">
        <v>123</v>
      </c>
      <c r="G13" s="14" t="s">
        <v>124</v>
      </c>
      <c r="H13" s="14" t="s">
        <v>125</v>
      </c>
    </row>
    <row r="14" ht="79.5" customHeight="1" spans="1:8">
      <c r="A14" s="14"/>
      <c r="B14" s="14"/>
      <c r="C14" s="14"/>
      <c r="D14" s="14"/>
      <c r="E14" s="14"/>
      <c r="F14" s="14"/>
      <c r="G14" s="14"/>
      <c r="H14" s="14"/>
    </row>
    <row r="15" ht="79.5" customHeight="1" spans="1:8">
      <c r="A15" s="14"/>
      <c r="B15" s="14"/>
      <c r="C15" s="14"/>
      <c r="D15" s="14"/>
      <c r="E15" s="14"/>
      <c r="F15" s="14"/>
      <c r="G15" s="14"/>
      <c r="H15" s="14"/>
    </row>
    <row r="16" ht="79.5" customHeight="1" spans="1:8">
      <c r="A16" s="14"/>
      <c r="B16" s="14"/>
      <c r="C16" s="14"/>
      <c r="D16" s="14"/>
      <c r="E16" s="14"/>
      <c r="F16" s="14"/>
      <c r="G16" s="14"/>
      <c r="H16" s="14"/>
    </row>
    <row r="17" ht="79.5" customHeight="1" spans="1:8">
      <c r="A17" s="14"/>
      <c r="B17" s="14"/>
      <c r="C17" s="14"/>
      <c r="D17" s="14"/>
      <c r="E17" s="14"/>
      <c r="F17" s="14"/>
      <c r="G17" s="14"/>
      <c r="H17" s="14"/>
    </row>
    <row r="18" ht="79.5" customHeight="1" spans="1:8">
      <c r="A18" s="14"/>
      <c r="B18" s="14"/>
      <c r="C18" s="14"/>
      <c r="D18" s="14"/>
      <c r="E18" s="14"/>
      <c r="F18" s="14"/>
      <c r="G18" s="14"/>
      <c r="H18" s="14"/>
    </row>
    <row r="19" ht="79.5" customHeight="1" spans="1:8">
      <c r="A19" s="14"/>
      <c r="B19" s="14"/>
      <c r="C19" s="14"/>
      <c r="D19" s="14"/>
      <c r="E19" s="14"/>
      <c r="F19" s="14"/>
      <c r="G19" s="14"/>
      <c r="H19" s="14"/>
    </row>
    <row r="20" ht="79.5" customHeight="1" spans="1:8">
      <c r="A20" s="14"/>
      <c r="B20" s="14"/>
      <c r="C20" s="14"/>
      <c r="D20" s="14"/>
      <c r="E20" s="14"/>
      <c r="F20" s="14"/>
      <c r="G20" s="14"/>
      <c r="H20" s="14"/>
    </row>
    <row r="21" ht="79.5" customHeight="1" spans="1:8">
      <c r="A21" s="14"/>
      <c r="B21" s="14"/>
      <c r="C21" s="14"/>
      <c r="D21" s="14"/>
      <c r="E21" s="14"/>
      <c r="F21" s="14"/>
      <c r="G21" s="14"/>
      <c r="H21" s="14"/>
    </row>
    <row r="22" ht="79.5" customHeight="1" spans="1:8">
      <c r="A22" s="14"/>
      <c r="B22" s="14"/>
      <c r="C22" s="14"/>
      <c r="D22" s="14"/>
      <c r="E22" s="14"/>
      <c r="F22" s="14"/>
      <c r="G22" s="14"/>
      <c r="H22" s="14"/>
    </row>
    <row r="23" ht="79.5" customHeight="1" spans="1:8">
      <c r="A23" s="14"/>
      <c r="B23" s="14"/>
      <c r="C23" s="14"/>
      <c r="D23" s="14"/>
      <c r="E23" s="14"/>
      <c r="F23" s="14"/>
      <c r="G23" s="14"/>
      <c r="H23" s="14"/>
    </row>
    <row r="24" ht="79.5" customHeight="1" spans="1:8">
      <c r="A24" s="14"/>
      <c r="B24" s="14"/>
      <c r="C24" s="14"/>
      <c r="D24" s="14"/>
      <c r="E24" s="14"/>
      <c r="F24" s="14"/>
      <c r="G24" s="14"/>
      <c r="H24" s="14"/>
    </row>
    <row r="25" ht="79.5" customHeight="1" spans="1:8">
      <c r="A25" s="14"/>
      <c r="B25" s="14"/>
      <c r="C25" s="14"/>
      <c r="D25" s="14"/>
      <c r="E25" s="14"/>
      <c r="F25" s="14"/>
      <c r="G25" s="14"/>
      <c r="H25" s="14"/>
    </row>
    <row r="26" ht="79.5" customHeight="1" spans="1:8">
      <c r="A26" s="14"/>
      <c r="B26" s="14"/>
      <c r="C26" s="14"/>
      <c r="D26" s="14"/>
      <c r="E26" s="14"/>
      <c r="F26" s="14"/>
      <c r="G26" s="14"/>
      <c r="H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ageMargins left="0.75" right="0.75" top="1" bottom="1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0"/>
  <sheetViews>
    <sheetView workbookViewId="0">
      <selection activeCell="D4" sqref="D4"/>
    </sheetView>
  </sheetViews>
  <sheetFormatPr defaultColWidth="14.4272727272727" defaultRowHeight="15" customHeight="1" outlineLevelCol="5"/>
  <cols>
    <col min="1" max="1" width="12" customWidth="1"/>
    <col min="2" max="2" width="22" customWidth="1"/>
    <col min="3" max="6" width="30" customWidth="1"/>
    <col min="7" max="26" width="8.71818181818182" customWidth="1"/>
  </cols>
  <sheetData>
    <row r="1" ht="21" spans="1:1">
      <c r="A1" s="15" t="s">
        <v>126</v>
      </c>
    </row>
    <row r="2" ht="14.5" spans="1:1">
      <c r="A2" s="16" t="s">
        <v>127</v>
      </c>
    </row>
    <row r="3" ht="39.75" customHeight="1" spans="1:6">
      <c r="A3" s="4" t="s">
        <v>128</v>
      </c>
      <c r="B3" s="4" t="s">
        <v>129</v>
      </c>
      <c r="C3" s="4" t="s">
        <v>130</v>
      </c>
      <c r="D3" s="4" t="s">
        <v>131</v>
      </c>
      <c r="E3" s="4" t="s">
        <v>132</v>
      </c>
      <c r="F3" s="4" t="s">
        <v>133</v>
      </c>
    </row>
    <row r="4" ht="60" customHeight="1" spans="1:6">
      <c r="A4" s="17" t="s">
        <v>52</v>
      </c>
      <c r="B4" s="18" t="s">
        <v>134</v>
      </c>
      <c r="C4" s="18" t="s">
        <v>135</v>
      </c>
      <c r="D4" s="18" t="s">
        <v>136</v>
      </c>
      <c r="E4" s="18" t="s">
        <v>137</v>
      </c>
      <c r="F4" s="18" t="s">
        <v>138</v>
      </c>
    </row>
    <row r="5" ht="87" spans="1:6">
      <c r="A5" s="17" t="s">
        <v>60</v>
      </c>
      <c r="B5" s="18" t="s">
        <v>139</v>
      </c>
      <c r="C5" s="18" t="s">
        <v>140</v>
      </c>
      <c r="D5" s="18" t="s">
        <v>141</v>
      </c>
      <c r="E5" s="18" t="s">
        <v>142</v>
      </c>
      <c r="F5" s="18" t="s">
        <v>143</v>
      </c>
    </row>
    <row r="6" ht="60" customHeight="1" spans="1:6">
      <c r="A6" s="19" t="s">
        <v>68</v>
      </c>
      <c r="B6" s="14" t="s">
        <v>144</v>
      </c>
      <c r="C6" s="14" t="s">
        <v>145</v>
      </c>
      <c r="D6" s="14" t="s">
        <v>146</v>
      </c>
      <c r="E6" s="14" t="s">
        <v>147</v>
      </c>
      <c r="F6" s="14" t="s">
        <v>148</v>
      </c>
    </row>
    <row r="7" ht="60" customHeight="1" spans="1:6">
      <c r="A7" s="19" t="s">
        <v>75</v>
      </c>
      <c r="B7" s="14" t="s">
        <v>149</v>
      </c>
      <c r="C7" s="14" t="s">
        <v>150</v>
      </c>
      <c r="D7" s="14" t="s">
        <v>151</v>
      </c>
      <c r="E7" s="14" t="s">
        <v>152</v>
      </c>
      <c r="F7" s="14" t="s">
        <v>153</v>
      </c>
    </row>
    <row r="8" ht="60" customHeight="1" spans="1:6">
      <c r="A8" s="19" t="s">
        <v>82</v>
      </c>
      <c r="B8" s="14" t="s">
        <v>139</v>
      </c>
      <c r="C8" s="14" t="s">
        <v>154</v>
      </c>
      <c r="D8" s="14" t="s">
        <v>155</v>
      </c>
      <c r="E8" s="14" t="s">
        <v>156</v>
      </c>
      <c r="F8" s="14" t="s">
        <v>157</v>
      </c>
    </row>
    <row r="9" ht="60" customHeight="1" spans="1:6">
      <c r="A9" s="19" t="s">
        <v>89</v>
      </c>
      <c r="B9" s="14" t="s">
        <v>144</v>
      </c>
      <c r="C9" s="14" t="s">
        <v>158</v>
      </c>
      <c r="D9" s="14" t="s">
        <v>159</v>
      </c>
      <c r="E9" s="14" t="s">
        <v>160</v>
      </c>
      <c r="F9" s="14" t="s">
        <v>161</v>
      </c>
    </row>
    <row r="10" ht="60" customHeight="1" spans="1:6">
      <c r="A10" s="14"/>
      <c r="B10" s="14"/>
      <c r="C10" s="14"/>
      <c r="D10" s="14"/>
      <c r="E10" s="14"/>
      <c r="F10" s="14"/>
    </row>
    <row r="11" ht="60" customHeight="1" spans="1:6">
      <c r="A11" s="14"/>
      <c r="B11" s="14"/>
      <c r="C11" s="14"/>
      <c r="D11" s="14"/>
      <c r="E11" s="14"/>
      <c r="F11" s="14"/>
    </row>
    <row r="12" ht="60" customHeight="1" spans="1:6">
      <c r="A12" s="14"/>
      <c r="B12" s="14"/>
      <c r="C12" s="14"/>
      <c r="D12" s="14"/>
      <c r="E12" s="14"/>
      <c r="F12" s="14"/>
    </row>
    <row r="13" ht="60" customHeight="1" spans="1:6">
      <c r="A13" s="14"/>
      <c r="B13" s="14"/>
      <c r="C13" s="14"/>
      <c r="D13" s="14"/>
      <c r="E13" s="14"/>
      <c r="F13" s="14"/>
    </row>
    <row r="14" ht="60" customHeight="1" spans="1:6">
      <c r="A14" s="14"/>
      <c r="B14" s="14"/>
      <c r="C14" s="14"/>
      <c r="D14" s="14"/>
      <c r="E14" s="14"/>
      <c r="F14" s="14"/>
    </row>
    <row r="15" ht="60" customHeight="1" spans="1:6">
      <c r="A15" s="14"/>
      <c r="B15" s="14"/>
      <c r="C15" s="14"/>
      <c r="D15" s="14"/>
      <c r="E15" s="14"/>
      <c r="F15" s="14"/>
    </row>
    <row r="16" ht="60" customHeight="1" spans="1:6">
      <c r="A16" s="14"/>
      <c r="B16" s="14"/>
      <c r="C16" s="14"/>
      <c r="D16" s="14"/>
      <c r="E16" s="14"/>
      <c r="F16" s="14"/>
    </row>
    <row r="17" ht="60" customHeight="1" spans="1:6">
      <c r="A17" s="14"/>
      <c r="B17" s="14"/>
      <c r="C17" s="14"/>
      <c r="D17" s="14"/>
      <c r="E17" s="14"/>
      <c r="F17" s="14"/>
    </row>
    <row r="18" ht="60" customHeight="1" spans="1:6">
      <c r="A18" s="14"/>
      <c r="B18" s="14"/>
      <c r="C18" s="14"/>
      <c r="D18" s="14"/>
      <c r="E18" s="14"/>
      <c r="F18" s="14"/>
    </row>
    <row r="19" ht="60" customHeight="1" spans="1:6">
      <c r="A19" s="14"/>
      <c r="B19" s="14"/>
      <c r="C19" s="14"/>
      <c r="D19" s="14"/>
      <c r="E19" s="14"/>
      <c r="F19" s="14"/>
    </row>
    <row r="20" ht="60" customHeight="1" spans="1:6">
      <c r="A20" s="14"/>
      <c r="B20" s="14"/>
      <c r="C20" s="14"/>
      <c r="D20" s="14"/>
      <c r="E20" s="14"/>
      <c r="F20" s="14"/>
    </row>
    <row r="21" ht="60" customHeight="1" spans="1:6">
      <c r="A21" s="14"/>
      <c r="B21" s="14"/>
      <c r="C21" s="14"/>
      <c r="D21" s="14"/>
      <c r="E21" s="14"/>
      <c r="F21" s="14"/>
    </row>
    <row r="22" ht="60" customHeight="1" spans="1:6">
      <c r="A22" s="14"/>
      <c r="B22" s="14"/>
      <c r="C22" s="14"/>
      <c r="D22" s="14"/>
      <c r="E22" s="14"/>
      <c r="F22" s="14"/>
    </row>
    <row r="23" ht="60" customHeight="1" spans="1:6">
      <c r="A23" s="14"/>
      <c r="B23" s="14"/>
      <c r="C23" s="14"/>
      <c r="D23" s="14"/>
      <c r="E23" s="14"/>
      <c r="F23" s="14"/>
    </row>
    <row r="24" ht="60" customHeight="1" spans="1:6">
      <c r="A24" s="14"/>
      <c r="B24" s="14"/>
      <c r="C24" s="14"/>
      <c r="D24" s="14"/>
      <c r="E24" s="14"/>
      <c r="F24" s="14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 spans="1:1">
      <c r="A30" s="3" t="s">
        <v>162</v>
      </c>
    </row>
    <row r="31" ht="15.75" customHeight="1" spans="1:3">
      <c r="A31" s="12" t="s">
        <v>163</v>
      </c>
      <c r="B31" s="12" t="s">
        <v>164</v>
      </c>
      <c r="C31" s="12" t="s">
        <v>165</v>
      </c>
    </row>
    <row r="32" ht="15.75" customHeight="1" spans="1:3">
      <c r="A32" s="14" t="s">
        <v>166</v>
      </c>
      <c r="B32" s="14" t="s">
        <v>167</v>
      </c>
      <c r="C32" s="14" t="s">
        <v>168</v>
      </c>
    </row>
    <row r="33" ht="15.75" customHeight="1" spans="1:3">
      <c r="A33" s="14" t="s">
        <v>169</v>
      </c>
      <c r="B33" s="14" t="s">
        <v>170</v>
      </c>
      <c r="C33" s="14" t="s">
        <v>171</v>
      </c>
    </row>
    <row r="34" ht="15.75" customHeight="1" spans="1:3">
      <c r="A34" s="14" t="s">
        <v>172</v>
      </c>
      <c r="B34" s="14" t="s">
        <v>173</v>
      </c>
      <c r="C34" s="14" t="s">
        <v>174</v>
      </c>
    </row>
    <row r="35" ht="15.75" customHeight="1" spans="1:3">
      <c r="A35" s="14" t="s">
        <v>175</v>
      </c>
      <c r="B35" s="14" t="s">
        <v>176</v>
      </c>
      <c r="C35" s="14" t="s">
        <v>177</v>
      </c>
    </row>
    <row r="36" ht="15.75" customHeight="1" spans="1:3">
      <c r="A36" s="14" t="s">
        <v>178</v>
      </c>
      <c r="B36" s="14" t="s">
        <v>179</v>
      </c>
      <c r="C36" s="14" t="s">
        <v>180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ageMargins left="0.75" right="0.75" top="1" bottom="1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00"/>
  <sheetViews>
    <sheetView workbookViewId="0">
      <selection activeCell="A2" sqref="A2:D2"/>
    </sheetView>
  </sheetViews>
  <sheetFormatPr defaultColWidth="14.4272727272727" defaultRowHeight="15" customHeight="1" outlineLevelCol="3"/>
  <cols>
    <col min="1" max="1" width="8" customWidth="1"/>
    <col min="2" max="2" width="60" customWidth="1"/>
    <col min="3" max="3" width="10" customWidth="1"/>
    <col min="4" max="4" width="30" customWidth="1"/>
    <col min="5" max="26" width="8.71818181818182" customWidth="1"/>
  </cols>
  <sheetData>
    <row r="1" ht="21" spans="1:1">
      <c r="A1" s="1" t="s">
        <v>181</v>
      </c>
    </row>
    <row r="2" ht="14.5" spans="1:1">
      <c r="A2" s="2" t="s">
        <v>182</v>
      </c>
    </row>
    <row r="4" ht="18.5" spans="1:1">
      <c r="A4" s="3" t="s">
        <v>183</v>
      </c>
    </row>
    <row r="5" ht="14.5" spans="1:4">
      <c r="A5" s="4" t="s">
        <v>184</v>
      </c>
      <c r="B5" s="5" t="s">
        <v>185</v>
      </c>
      <c r="C5" s="4" t="s">
        <v>186</v>
      </c>
      <c r="D5" s="5" t="s">
        <v>187</v>
      </c>
    </row>
    <row r="6" spans="1:4">
      <c r="A6" s="6" t="s">
        <v>188</v>
      </c>
      <c r="B6" s="7" t="s">
        <v>189</v>
      </c>
      <c r="C6" s="6" t="s">
        <v>190</v>
      </c>
      <c r="D6" s="7"/>
    </row>
    <row r="7" spans="1:4">
      <c r="A7" s="6" t="s">
        <v>191</v>
      </c>
      <c r="B7" s="7" t="s">
        <v>192</v>
      </c>
      <c r="C7" s="6" t="s">
        <v>190</v>
      </c>
      <c r="D7" s="7"/>
    </row>
    <row r="8" spans="1:4">
      <c r="A8" s="6" t="s">
        <v>193</v>
      </c>
      <c r="B8" s="7" t="s">
        <v>194</v>
      </c>
      <c r="C8" s="6" t="s">
        <v>190</v>
      </c>
      <c r="D8" s="7"/>
    </row>
    <row r="9" spans="1:4">
      <c r="A9" s="6" t="s">
        <v>195</v>
      </c>
      <c r="B9" s="7" t="s">
        <v>196</v>
      </c>
      <c r="C9" s="6" t="s">
        <v>190</v>
      </c>
      <c r="D9" s="7"/>
    </row>
    <row r="10" spans="1:4">
      <c r="A10" s="6" t="s">
        <v>197</v>
      </c>
      <c r="B10" s="7" t="s">
        <v>198</v>
      </c>
      <c r="C10" s="6" t="s">
        <v>190</v>
      </c>
      <c r="D10" s="7"/>
    </row>
    <row r="12" ht="18.5" spans="1:1">
      <c r="A12" s="3" t="s">
        <v>199</v>
      </c>
    </row>
    <row r="13" ht="14.5" spans="1:4">
      <c r="A13" s="4" t="s">
        <v>184</v>
      </c>
      <c r="B13" s="5" t="s">
        <v>185</v>
      </c>
      <c r="C13" s="4" t="s">
        <v>186</v>
      </c>
      <c r="D13" s="5" t="s">
        <v>200</v>
      </c>
    </row>
    <row r="14" spans="1:4">
      <c r="A14" s="6" t="s">
        <v>188</v>
      </c>
      <c r="B14" s="7" t="s">
        <v>201</v>
      </c>
      <c r="C14" s="6" t="s">
        <v>190</v>
      </c>
      <c r="D14" s="7"/>
    </row>
    <row r="15" spans="1:4">
      <c r="A15" s="6" t="s">
        <v>191</v>
      </c>
      <c r="B15" s="7" t="s">
        <v>202</v>
      </c>
      <c r="C15" s="6" t="s">
        <v>190</v>
      </c>
      <c r="D15" s="7"/>
    </row>
    <row r="16" spans="1:4">
      <c r="A16" s="6" t="s">
        <v>193</v>
      </c>
      <c r="B16" s="7" t="s">
        <v>203</v>
      </c>
      <c r="C16" s="6" t="s">
        <v>190</v>
      </c>
      <c r="D16" s="7"/>
    </row>
    <row r="17" spans="1:4">
      <c r="A17" s="6" t="s">
        <v>195</v>
      </c>
      <c r="B17" s="7" t="s">
        <v>204</v>
      </c>
      <c r="C17" s="6" t="s">
        <v>190</v>
      </c>
      <c r="D17" s="7"/>
    </row>
    <row r="18" spans="1:4">
      <c r="A18" s="6" t="s">
        <v>197</v>
      </c>
      <c r="B18" s="7" t="s">
        <v>205</v>
      </c>
      <c r="C18" s="6" t="s">
        <v>190</v>
      </c>
      <c r="D18" s="7"/>
    </row>
    <row r="20" ht="15.5" spans="1:1">
      <c r="A20" s="8" t="s">
        <v>206</v>
      </c>
    </row>
    <row r="21" ht="15.75" customHeight="1" spans="1:1">
      <c r="A21" s="9" t="s">
        <v>207</v>
      </c>
    </row>
    <row r="22" ht="15.75" customHeight="1" spans="1:1">
      <c r="A22" s="9" t="s">
        <v>208</v>
      </c>
    </row>
    <row r="23" ht="15.75" customHeight="1"/>
    <row r="24" ht="15.75" customHeight="1"/>
    <row r="25" ht="15.75" customHeight="1" spans="1:1">
      <c r="A25" s="3" t="s">
        <v>209</v>
      </c>
    </row>
    <row r="26" ht="15.75" customHeight="1" spans="1:1">
      <c r="A26" s="10" t="s">
        <v>210</v>
      </c>
    </row>
    <row r="27" ht="15.75" customHeight="1" spans="1:4">
      <c r="A27" s="11" t="s">
        <v>44</v>
      </c>
      <c r="B27" s="12" t="s">
        <v>211</v>
      </c>
      <c r="C27" s="12" t="s">
        <v>212</v>
      </c>
      <c r="D27" s="12" t="s">
        <v>213</v>
      </c>
    </row>
    <row r="28" ht="15.75" customHeight="1" spans="1:4">
      <c r="A28" s="13" t="s">
        <v>52</v>
      </c>
      <c r="B28" s="14"/>
      <c r="C28" s="14"/>
      <c r="D28" s="14"/>
    </row>
    <row r="29" ht="15.75" customHeight="1" spans="1:4">
      <c r="A29" s="13" t="s">
        <v>60</v>
      </c>
      <c r="B29" s="14"/>
      <c r="C29" s="14"/>
      <c r="D29" s="14"/>
    </row>
    <row r="30" ht="15.75" customHeight="1" spans="1:4">
      <c r="A30" s="13" t="s">
        <v>68</v>
      </c>
      <c r="B30" s="14"/>
      <c r="C30" s="14"/>
      <c r="D30" s="14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2026-05-07T22:28:00Z</dcterms:created>
  <dcterms:modified xsi:type="dcterms:W3CDTF">2026-07-22T04:24:53Z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