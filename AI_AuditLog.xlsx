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3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44525"/>
</workbook>
</file>

<file path=xl/sharedStrings.xml><?xml version="1.0" encoding="utf-8"?>
<sst xmlns="http://schemas.openxmlformats.org/spreadsheetml/2006/main" count="234" uniqueCount="198">
  <si>
    <t>AI AUDIT LOG - METADATA &amp; SUMMARY</t>
  </si>
  <si>
    <t>STUDENT INFORMATION</t>
  </si>
  <si>
    <t>Student Name:</t>
  </si>
  <si>
    <t>IoT Student (AI Assistant)</t>
  </si>
  <si>
    <t>Student ID:</t>
  </si>
  <si>
    <t>SE123456</t>
  </si>
  <si>
    <t>Course:</t>
  </si>
  <si>
    <t>IOT102</t>
  </si>
  <si>
    <t>Assignment:</t>
  </si>
  <si>
    <t>Weather Station Monitoring System</t>
  </si>
  <si>
    <t>AI USAGE SUMMARY</t>
  </si>
  <si>
    <t>Total Prompts Used (all AI tools):</t>
  </si>
  <si>
    <t>~90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</si>
  <si>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</si>
  <si>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</si>
  <si>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</si>
  <si>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</si>
  <si>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</si>
  <si>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</si>
  <si>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</si>
  <si>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Main Value</t>
  </si>
  <si>
    <t>ChatGPT</t>
  </si>
  <si>
    <t>Look up information nationwide, support learning</t>
  </si>
  <si>
    <t>High</t>
  </si>
  <si>
    <t>Rapid prototyping</t>
  </si>
  <si>
    <t>GitHub Copilot</t>
  </si>
  <si>
    <t>Auto-completion, Image creation</t>
  </si>
  <si>
    <t>Medium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</si>
  <si>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</si>
  <si>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</si>
  <si>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</si>
  <si>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</si>
  <si>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</si>
  <si>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</si>
  <si>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</si>
  <si>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</si>
  <si>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</si>
  <si>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</si>
  <si>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</si>
  <si>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</si>
  <si>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</si>
  <si>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</si>
  <si>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</si>
  <si>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</si>
  <si>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</si>
  <si>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</si>
  <si>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</si>
  <si>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</si>
  <si>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</si>
  <si>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DECISION</t>
  </si>
  <si>
    <t>System Architecture Decomposition</t>
  </si>
  <si>
    <t>The Drone project uses 3 ESP32 boards. Please help analyze which board should handle which task.</t>
  </si>
  <si>
    <t>Suggested dividing into FC (flight), Payload (sensors), GCS (Web UI).</t>
  </si>
  <si>
    <t>Logical decision because FC requires realtime processing and cannot bear the Web Server load.</t>
  </si>
  <si>
    <t>Source code architecture</t>
  </si>
  <si>
    <t>OPTIMIZATION</t>
  </si>
  <si>
    <t>Migrating code to Arduino IDE</t>
  </si>
  <si>
    <t>PlatformIO is failing. How to restructure the files for Arduino IDE?</t>
  </si>
  <si>
    <t>Advised to flatten the directory (put everything together) and remove relative paths in #include.</t>
  </si>
  <si>
    <t>Arduino IDE doesn't flexibly support including subdirectories, making flattening mandatory.</t>
  </si>
  <si>
    <t>Flattened files in Arduino_GCS</t>
  </si>
  <si>
    <t>ERROR HANDLING</t>
  </si>
  <si>
    <t>Error #endif without #if</t>
  </si>
  <si>
    <t>Constantly encountering '#endif without #if' error in header files after copying.</t>
  </si>
  <si>
    <t>Error was caused by BOM (Byte Order Mark) inserted during file creation by PowerShell.</t>
  </si>
  <si>
    <t>Recognized the error pattern due to file format. Fixed by setting the encoding to UTF-8 No BOM.</t>
  </si>
  <si>
    <t>Commit fix BOM</t>
  </si>
  <si>
    <t>GitHub language misidentification</t>
  </si>
  <si>
    <t>GitHub identifies the C++ code as C, how to fix this?</t>
  </si>
  <si>
    <t>Add a .gitattributes file to configure linguist-language=C++.</t>
  </si>
  <si>
    <t>Understood the static tool's identification pattern and applied an override rule.</t>
  </si>
  <si>
    <t>.gitattributes file</t>
  </si>
  <si>
    <t>DESIGN</t>
  </si>
  <si>
    <t>Web UI Design</t>
  </si>
  <si>
    <t>How to design a virtual Joystick on the web to control the Drone?</t>
  </si>
  <si>
    <t>Created static HTML with Joystick circles and a button.</t>
  </si>
  <si>
    <t>Forced the AI to use Abstraction by adding Javascript to calculate coordinates (transform).</t>
  </si>
  <si>
    <t>index_html.h JS logic</t>
  </si>
  <si>
    <t>Communication Protocol</t>
  </si>
  <si>
    <t>Which packet structure is most efficient for sending data via HC-12?</t>
  </si>
  <si>
    <t>Use C++ struct with #pragma pack to compress byte data.</t>
  </si>
  <si>
    <t>Reduced packet size instead of transmitting JSON, optimizing for the low-bandwidth HC-12.</t>
  </si>
  <si>
    <t>struct GCSCommand</t>
  </si>
  <si>
    <t>ALGORITHM</t>
  </si>
  <si>
    <t>Algorithm</t>
  </si>
  <si>
    <t>Web Server timeout</t>
  </si>
  <si>
    <t>Accessing the web at 192.168.1.92 throws ERR_CONNECTION_TIMED_OUT.</t>
  </si>
  <si>
    <t>Advised using a Mobile Hotspot to rule out router (AP isolation) issues.</t>
  </si>
  <si>
    <t>The AsyncWebServer algorithm wasn't flawed; the issue stemmed from the LAN structure.</t>
  </si>
  <si>
    <t>Successful connection</t>
  </si>
  <si>
    <t>Power Saving</t>
  </si>
  <si>
    <t>Need an algorithm to turn off sensors when not measuring.</t>
  </si>
  <si>
    <t>Added env_mode variable and wrapped the sensor reading algorithm inside an if (g_env_mode) statement.</t>
  </si>
  <si>
    <t>Saves CPU cycles for the Payload. Completely suspends reading if not enabled.</t>
  </si>
  <si>
    <t>telemetry_tx.cpp</t>
  </si>
  <si>
    <t>TESTING</t>
  </si>
  <si>
    <t>Testing sensor values</t>
  </si>
  <si>
    <t>How to print sensor values to the screen for testing?</t>
  </si>
  <si>
    <t>Wrote a structured logging algorithm to format output to the Serial Monitor.</t>
  </si>
  <si>
    <t>Helps debug sensors quickly without needing to open the Web UI.</t>
  </si>
  <si>
    <t>Serial.print code</t>
  </si>
  <si>
    <t>String processing tool</t>
  </si>
  <si>
    <t>Write an automated script to scan and fix include errors in files.</t>
  </si>
  <si>
    <t>Wrote a PowerShell script using Regex for string replacement.</t>
  </si>
  <si>
    <t>Automated repetitive and tedious tasks using an algorithm.</t>
  </si>
  <si>
    <t>update_protocol.ps1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</si>
  <si>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</si>
  <si>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</si>
  <si>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</si>
  <si>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</si>
  <si>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</si>
  <si>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</si>
  <si>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</si>
  <si>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</si>
  <si>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Context Misunderstanding</t>
  </si>
  <si>
    <t>AI advised adding #if into the C++ file to fix the error.</t>
  </si>
  <si>
    <t>The C++ code was correct; the error was due to the hidden BOM character from PowerShell.</t>
  </si>
  <si>
    <t>Opened the file with a Hex editor/checked encoding.</t>
  </si>
  <si>
    <t>Requested the AI to rewrite the script to save files as UTF8-NoBOM.</t>
  </si>
  <si>
    <t>Lazy/Placeholder Code</t>
  </si>
  <si>
    <t>AI provided HTML code for the Joystick and claimed it would work immediately.</t>
  </si>
  <si>
    <t>The interface was just static images without the Javascript to calculate events.</t>
  </si>
  <si>
    <t>Tried dragging the mouse on the web with no response.</t>
  </si>
  <si>
    <t>Forced the AI to add the JS touchmove/mousemove functions.</t>
  </si>
  <si>
    <t>Requirement Omission</t>
  </si>
  <si>
    <t>AI claimed the Web interface was fully functional.</t>
  </si>
  <si>
    <t>It completely lacked the Environment Measurement toggle button.</t>
  </si>
  <si>
    <t>Compared the actual Web interface with the original Flowchart.</t>
  </si>
  <si>
    <t>Requested the AI to add the button and the env_mode variable.</t>
  </si>
  <si>
    <t>Side effect</t>
  </si>
  <si>
    <t>AI perfectly replaced the variable in the file using Regex.</t>
  </si>
  <si>
    <t>The indiscriminate Regex replacement caused the variable to appear in two different structs.</t>
  </si>
  <si>
    <t>Reviewed the protocol.h code after running the script.</t>
  </si>
  <si>
    <t>Learned the risks of using global Regex replace.</t>
  </si>
  <si>
    <t>False Diagnosis</t>
  </si>
  <si>
    <t>AI advised modifying the ESP32 network configuration code to fix the Timeout error.</t>
  </si>
  <si>
    <t>The error was caused by the router blocking internal connections; the code was perfectly correct.</t>
  </si>
  <si>
    <t>Tested ping and tried using a Mobile Hotspot network.</t>
  </si>
  <si>
    <t>Kept the code unchanged and modified the network connection method.</t>
  </si>
  <si>
    <t>Technical Infeasibility</t>
  </si>
  <si>
    <t>Advised that simply changing the .cpp file extension to .ino would solve the issue.</t>
  </si>
  <si>
    <t>Arduino IDE requires files to be flattened or structured as standard libraries.</t>
  </si>
  <si>
    <t>IDE threw 'file not found' errors for includes.</t>
  </si>
  <si>
    <t>Forced to write a script to flatten the entire source code.</t>
  </si>
  <si>
    <t>HALLUCINATION TYPES REFERENCE:</t>
  </si>
  <si>
    <t>Type</t>
  </si>
  <si>
    <t>Definition</t>
  </si>
  <si>
    <t>Example</t>
  </si>
  <si>
    <t>Fabrication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</si>
  <si>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</si>
  <si>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</si>
  <si>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</si>
  <si>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</si>
  <si>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</si>
  <si>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</si>
  <si>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</si>
  <si>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</si>
  <si>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</si>
  <si>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</si>
  <si>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</si>
  <si>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AI không hiểu đúng bối cảnh</t>
  </si>
  <si>
    <t>Không biết business constraints</t>
  </si>
  <si>
    <t>awd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</si>
  <si>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</si>
  <si>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</si>
  <si>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</si>
  <si>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</si>
  <si>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</si>
  <si>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</si>
  <si>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</si>
  <si>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</si>
  <si>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x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</si>
  <si>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</si>
  <si>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</si>
  <si>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</si>
  <si>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</si>
  <si>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</si>
  <si>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</si>
  <si>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</si>
  <si>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</si>
  <si>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</si>
  <si>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</si>
  <si>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</si>
  <si>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</si>
  <si>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</si>
  <si>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</si>
  <si>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</si>
  <si>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</si>
  <si>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</si>
  <si>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</si>
  <si>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</si>
  <si>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</si>
  <si>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</si>
  <si>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</si>
  <si>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</si>
  <si>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001</t>
  </si>
  <si>
    <t>002</t>
  </si>
  <si>
    <t>003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</si>
</sst>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0.0%"/>
  </numFmts>
  <fonts count="36">
    <font>
      <sz val="11"/>
      <color theme="1"/>
      <name val="Calibri"/>
      <charset val="134"/>
      <scheme val="minor"/>
    </font>
    <font>
      <b/>
      <sz val="16"/>
      <color rgb="FF2E75B6"/>
      <name val="Calibri"/>
      <charset val="134"/>
      <scheme val="minor"/>
    </font>
    <font>
      <i/>
      <sz val="10"/>
      <color rgb="FF666666"/>
      <name val="Calibri"/>
      <charset val="134"/>
      <scheme val="minor"/>
    </font>
    <font>
      <b/>
      <sz val="14"/>
      <color rgb="FF2E75B6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2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</font>
    <font>
      <b/>
      <sz val="16"/>
      <color rgb="FFFF0000"/>
      <name val="Calibri"/>
      <charset val="134"/>
      <scheme val="minor"/>
    </font>
    <font>
      <b/>
      <i/>
      <sz val="10"/>
      <color rgb="FFFF0000"/>
      <name val="Calibri"/>
      <charset val="134"/>
      <scheme val="minor"/>
    </font>
    <font>
      <b/>
      <sz val="11"/>
      <color theme="1"/>
      <name val="Calibri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i/>
      <sz val="9"/>
      <color rgb="FF666666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9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4" fillId="13" borderId="6" applyNumberFormat="0" applyAlignment="0" applyProtection="0">
      <alignment vertical="center"/>
    </xf>
    <xf numFmtId="0" fontId="27" fillId="0" borderId="5" applyNumberFormat="0" applyFill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31" fillId="19" borderId="9" applyNumberFormat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4" fillId="27" borderId="10" applyNumberFormat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35" fillId="27" borderId="9" applyNumberFormat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7">
    <xf numFmtId="0" fontId="0" fillId="0" borderId="0" xfId="0" applyFont="1" applyAlignment="1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left" vertical="top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top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4" borderId="2" xfId="0" applyFont="1" applyFill="1" applyBorder="1" applyAlignment="1">
      <alignment vertical="top" wrapText="1"/>
    </xf>
    <xf numFmtId="0" fontId="14" fillId="4" borderId="2" xfId="0" applyFont="1" applyFill="1" applyBorder="1" applyAlignment="1">
      <alignment vertical="top" wrapText="1"/>
    </xf>
    <xf numFmtId="0" fontId="2" fillId="0" borderId="0" xfId="0" applyFont="1" applyAlignment="1">
      <alignment horizontal="left" vertical="top" wrapText="1"/>
    </xf>
    <xf numFmtId="0" fontId="15" fillId="4" borderId="1" xfId="0" applyFont="1" applyFill="1" applyBorder="1" applyAlignment="1">
      <alignment horizontal="left" vertical="top" wrapText="1"/>
    </xf>
    <xf numFmtId="0" fontId="15" fillId="4" borderId="2" xfId="0" applyFont="1" applyFill="1" applyBorder="1" applyAlignment="1">
      <alignment vertical="top"/>
    </xf>
    <xf numFmtId="0" fontId="9" fillId="0" borderId="0" xfId="0" applyFont="1"/>
    <xf numFmtId="0" fontId="10" fillId="5" borderId="0" xfId="0" applyFont="1" applyFill="1" applyBorder="1" applyAlignment="1"/>
    <xf numFmtId="178" fontId="10" fillId="0" borderId="0" xfId="0" applyNumberFormat="1" applyFont="1"/>
    <xf numFmtId="0" fontId="16" fillId="0" borderId="0" xfId="0" applyFont="1"/>
    <xf numFmtId="0" fontId="10" fillId="5" borderId="1" xfId="0" applyFont="1" applyFill="1" applyBorder="1" applyAlignment="1">
      <alignment horizontal="center" vertical="center"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999"/>
  <sheetViews>
    <sheetView workbookViewId="0">
      <selection activeCell="A1" sqref="A1:F1"/>
    </sheetView>
  </sheetViews>
  <sheetFormatPr defaultColWidth="14.4285714285714" defaultRowHeight="15" customHeight="1" outlineLevelCol="5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  <col min="7" max="26" width="8.71428571428571" customWidth="1"/>
  </cols>
  <sheetData>
    <row r="1" ht="21" spans="1:1">
      <c r="A1" s="1" t="s">
        <v>0</v>
      </c>
    </row>
    <row r="3" ht="18.75" spans="1:1">
      <c r="A3" s="3" t="s">
        <v>1</v>
      </c>
    </row>
    <row r="4" ht="29.25" customHeight="1" spans="1:3">
      <c r="A4" s="22" t="s">
        <v>2</v>
      </c>
      <c r="C4" t="s">
        <v>3</v>
      </c>
    </row>
    <row r="5" spans="1:3">
      <c r="A5" s="22" t="s">
        <v>4</v>
      </c>
      <c r="C5" t="s">
        <v>5</v>
      </c>
    </row>
    <row r="6" spans="1:3">
      <c r="A6" s="22" t="s">
        <v>6</v>
      </c>
      <c r="C6" t="s">
        <v>7</v>
      </c>
    </row>
    <row r="7" spans="1:3">
      <c r="A7" s="22" t="s">
        <v>8</v>
      </c>
      <c r="C7" t="s">
        <v>9</v>
      </c>
    </row>
    <row r="9" ht="18.75" spans="1:1">
      <c r="A9" s="3" t="s">
        <v>10</v>
      </c>
    </row>
    <row r="10" spans="1:3">
      <c r="A10" s="22" t="s">
        <v>11</v>
      </c>
      <c r="C10" t="s">
        <v>12</v>
      </c>
    </row>
    <row r="11" spans="1:3">
      <c r="A11" s="22" t="s">
        <v>13</v>
      </c>
      <c r="C11" s="23">
        <v>9</v>
      </c>
    </row>
    <row r="12" spans="1:5">
      <c r="A12" s="22" t="s">
        <v>14</v>
      </c>
      <c r="C12" s="24" t="e">
        <f>C11/C10</f>
        <v>#VALUE!</v>
      </c>
      <c r="E12" s="25" t="s">
        <v>15</v>
      </c>
    </row>
    <row r="13" spans="1:3">
      <c r="A13" s="22" t="s">
        <v>16</v>
      </c>
      <c r="C13" s="23">
        <v>1</v>
      </c>
    </row>
    <row r="15" ht="18.75" spans="1:1">
      <c r="A15" s="3" t="s">
        <v>17</v>
      </c>
    </row>
    <row r="16" spans="1:4">
      <c r="A16" s="4" t="s">
        <v>18</v>
      </c>
      <c r="B16" s="4" t="s">
        <v>19</v>
      </c>
      <c r="C16" s="4" t="s">
        <v>19</v>
      </c>
      <c r="D16" s="4" t="s">
        <v>20</v>
      </c>
    </row>
    <row r="17" ht="30" spans="1:4">
      <c r="A17" s="14" t="s">
        <v>21</v>
      </c>
      <c r="B17" s="14" t="s">
        <v>22</v>
      </c>
      <c r="C17" s="14" t="s">
        <v>23</v>
      </c>
      <c r="D17" s="14" t="s">
        <v>24</v>
      </c>
    </row>
    <row r="18" spans="1:4">
      <c r="A18" s="14" t="s">
        <v>25</v>
      </c>
      <c r="B18" s="14" t="s">
        <v>26</v>
      </c>
      <c r="C18" s="14" t="s">
        <v>27</v>
      </c>
      <c r="D18" s="14" t="s">
        <v>28</v>
      </c>
    </row>
    <row r="19" spans="1:4">
      <c r="A19" s="14" t="s">
        <v>29</v>
      </c>
      <c r="B19" s="14"/>
      <c r="C19" s="14"/>
      <c r="D19" s="14"/>
    </row>
    <row r="20" ht="15.75" customHeight="1"/>
    <row r="21" ht="15.75" customHeight="1" spans="1:1">
      <c r="A21" s="3" t="s">
        <v>30</v>
      </c>
    </row>
    <row r="22" ht="15.75" customHeight="1" spans="1:3">
      <c r="A22" s="4" t="s">
        <v>31</v>
      </c>
      <c r="B22" s="4" t="s">
        <v>32</v>
      </c>
      <c r="C22" s="4" t="s">
        <v>33</v>
      </c>
    </row>
    <row r="23" ht="15.75" customHeight="1" spans="1:3">
      <c r="A23" s="14" t="s">
        <v>34</v>
      </c>
      <c r="B23" s="26">
        <v>2</v>
      </c>
      <c r="C23" s="13" t="s">
        <v>35</v>
      </c>
    </row>
    <row r="24" ht="15.75" customHeight="1" spans="1:3">
      <c r="A24" s="14" t="s">
        <v>36</v>
      </c>
      <c r="B24" s="26">
        <v>3</v>
      </c>
      <c r="C24" s="13" t="s">
        <v>35</v>
      </c>
    </row>
    <row r="25" ht="15.75" customHeight="1" spans="1:3">
      <c r="A25" s="14" t="s">
        <v>37</v>
      </c>
      <c r="B25" s="26">
        <v>2</v>
      </c>
      <c r="C25" s="13" t="s">
        <v>35</v>
      </c>
    </row>
    <row r="26" ht="15.75" customHeight="1" spans="1:3">
      <c r="A26" s="14" t="s">
        <v>38</v>
      </c>
      <c r="B26" s="26">
        <v>3</v>
      </c>
      <c r="C26" s="13" t="s">
        <v>35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1">
    <mergeCell ref="A1:F1"/>
  </mergeCells>
  <pageMargins left="0.7" right="0.7" top="0.75" bottom="0.75" header="0" footer="0"/>
  <pageSetup paperSize="9" fitToHeight="0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0"/>
  <sheetViews>
    <sheetView workbookViewId="0">
      <selection activeCell="A1" sqref="A1:H1"/>
    </sheetView>
  </sheetViews>
  <sheetFormatPr defaultColWidth="14.4285714285714" defaultRowHeight="15" customHeight="1" outlineLevelCol="7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65.4285714285714" customWidth="1"/>
    <col min="8" max="8" width="20" customWidth="1"/>
    <col min="9" max="26" width="8.71428571428571" customWidth="1"/>
  </cols>
  <sheetData>
    <row r="1" ht="21" spans="1:1">
      <c r="A1" s="1" t="s">
        <v>39</v>
      </c>
    </row>
    <row r="2" ht="30" customHeight="1" spans="1:1">
      <c r="A2" s="19" t="s">
        <v>40</v>
      </c>
    </row>
    <row r="3" ht="39.75" customHeight="1" spans="1:8">
      <c r="A3" s="4" t="s">
        <v>41</v>
      </c>
      <c r="B3" s="4" t="s">
        <v>42</v>
      </c>
      <c r="C3" s="4" t="s">
        <v>43</v>
      </c>
      <c r="D3" s="4" t="s">
        <v>44</v>
      </c>
      <c r="E3" s="4" t="s">
        <v>45</v>
      </c>
      <c r="F3" s="4" t="s">
        <v>46</v>
      </c>
      <c r="G3" s="4" t="s">
        <v>47</v>
      </c>
      <c r="H3" s="4" t="s">
        <v>48</v>
      </c>
    </row>
    <row r="4" ht="99.75" customHeight="1" spans="1:8">
      <c r="A4" s="14">
        <v>1</v>
      </c>
      <c r="B4" s="20" t="s">
        <v>49</v>
      </c>
      <c r="C4" s="18" t="s">
        <v>34</v>
      </c>
      <c r="D4" s="18" t="s">
        <v>50</v>
      </c>
      <c r="E4" s="18" t="s">
        <v>51</v>
      </c>
      <c r="F4" s="18" t="s">
        <v>52</v>
      </c>
      <c r="G4" s="18" t="s">
        <v>53</v>
      </c>
      <c r="H4" s="18" t="s">
        <v>54</v>
      </c>
    </row>
    <row r="5" ht="99.75" customHeight="1" spans="1:8">
      <c r="A5" s="14">
        <v>2</v>
      </c>
      <c r="B5" s="21" t="s">
        <v>55</v>
      </c>
      <c r="C5" s="18" t="s">
        <v>34</v>
      </c>
      <c r="D5" s="18" t="s">
        <v>56</v>
      </c>
      <c r="E5" s="18" t="s">
        <v>57</v>
      </c>
      <c r="F5" s="18" t="s">
        <v>58</v>
      </c>
      <c r="G5" s="18" t="s">
        <v>59</v>
      </c>
      <c r="H5" s="18" t="s">
        <v>60</v>
      </c>
    </row>
    <row r="6" ht="99.75" customHeight="1" spans="1:8">
      <c r="A6" s="14">
        <v>3</v>
      </c>
      <c r="B6" s="21" t="s">
        <v>61</v>
      </c>
      <c r="C6" s="18" t="s">
        <v>36</v>
      </c>
      <c r="D6" s="18" t="s">
        <v>62</v>
      </c>
      <c r="E6" s="18" t="s">
        <v>63</v>
      </c>
      <c r="F6" s="18" t="s">
        <v>64</v>
      </c>
      <c r="G6" s="18" t="s">
        <v>65</v>
      </c>
      <c r="H6" s="18" t="s">
        <v>66</v>
      </c>
    </row>
    <row r="7" ht="79.5" customHeight="1" spans="1:8">
      <c r="A7" s="14">
        <v>4</v>
      </c>
      <c r="B7" s="21" t="s">
        <v>61</v>
      </c>
      <c r="C7" s="18" t="s">
        <v>36</v>
      </c>
      <c r="D7" s="18" t="s">
        <v>67</v>
      </c>
      <c r="E7" s="18" t="s">
        <v>68</v>
      </c>
      <c r="F7" s="18" t="s">
        <v>69</v>
      </c>
      <c r="G7" s="18" t="s">
        <v>70</v>
      </c>
      <c r="H7" s="18" t="s">
        <v>71</v>
      </c>
    </row>
    <row r="8" ht="79.5" customHeight="1" spans="1:8">
      <c r="A8" s="14">
        <v>5</v>
      </c>
      <c r="B8" s="21" t="s">
        <v>72</v>
      </c>
      <c r="C8" s="18" t="s">
        <v>37</v>
      </c>
      <c r="D8" s="18" t="s">
        <v>73</v>
      </c>
      <c r="E8" s="18" t="s">
        <v>74</v>
      </c>
      <c r="F8" s="18" t="s">
        <v>75</v>
      </c>
      <c r="G8" s="18" t="s">
        <v>76</v>
      </c>
      <c r="H8" s="18" t="s">
        <v>77</v>
      </c>
    </row>
    <row r="9" ht="79.5" customHeight="1" spans="1:8">
      <c r="A9" s="14">
        <v>6</v>
      </c>
      <c r="B9" s="21" t="s">
        <v>55</v>
      </c>
      <c r="C9" s="18" t="s">
        <v>37</v>
      </c>
      <c r="D9" s="18" t="s">
        <v>78</v>
      </c>
      <c r="E9" s="18" t="s">
        <v>79</v>
      </c>
      <c r="F9" s="18" t="s">
        <v>80</v>
      </c>
      <c r="G9" s="18" t="s">
        <v>81</v>
      </c>
      <c r="H9" s="18" t="s">
        <v>82</v>
      </c>
    </row>
    <row r="10" ht="79.5" customHeight="1" spans="1:8">
      <c r="A10" s="14">
        <v>7</v>
      </c>
      <c r="B10" s="14" t="s">
        <v>83</v>
      </c>
      <c r="C10" s="14" t="s">
        <v>84</v>
      </c>
      <c r="D10" s="14" t="s">
        <v>85</v>
      </c>
      <c r="E10" s="14" t="s">
        <v>86</v>
      </c>
      <c r="F10" s="14" t="s">
        <v>87</v>
      </c>
      <c r="G10" s="14" t="s">
        <v>88</v>
      </c>
      <c r="H10" s="14" t="s">
        <v>89</v>
      </c>
    </row>
    <row r="11" ht="79.5" customHeight="1" spans="1:8">
      <c r="A11" s="14">
        <v>8</v>
      </c>
      <c r="B11" s="14" t="s">
        <v>55</v>
      </c>
      <c r="C11" s="14" t="s">
        <v>84</v>
      </c>
      <c r="D11" s="14" t="s">
        <v>90</v>
      </c>
      <c r="E11" s="14" t="s">
        <v>91</v>
      </c>
      <c r="F11" s="14" t="s">
        <v>92</v>
      </c>
      <c r="G11" s="14" t="s">
        <v>93</v>
      </c>
      <c r="H11" s="14" t="s">
        <v>94</v>
      </c>
    </row>
    <row r="12" ht="79.5" customHeight="1" spans="1:8">
      <c r="A12" s="14">
        <v>9</v>
      </c>
      <c r="B12" s="14" t="s">
        <v>95</v>
      </c>
      <c r="C12" s="14" t="s">
        <v>84</v>
      </c>
      <c r="D12" s="14" t="s">
        <v>96</v>
      </c>
      <c r="E12" s="14" t="s">
        <v>97</v>
      </c>
      <c r="F12" s="14" t="s">
        <v>98</v>
      </c>
      <c r="G12" s="14" t="s">
        <v>99</v>
      </c>
      <c r="H12" s="14" t="s">
        <v>100</v>
      </c>
    </row>
    <row r="13" ht="79.5" customHeight="1" spans="1:8">
      <c r="A13" s="14">
        <v>10</v>
      </c>
      <c r="B13" s="14" t="s">
        <v>83</v>
      </c>
      <c r="C13" s="14" t="s">
        <v>84</v>
      </c>
      <c r="D13" s="14" t="s">
        <v>101</v>
      </c>
      <c r="E13" s="14" t="s">
        <v>102</v>
      </c>
      <c r="F13" s="14" t="s">
        <v>103</v>
      </c>
      <c r="G13" s="14" t="s">
        <v>104</v>
      </c>
      <c r="H13" s="14" t="s">
        <v>105</v>
      </c>
    </row>
    <row r="14" ht="79.5" customHeight="1" spans="1:8">
      <c r="A14" s="14"/>
      <c r="B14" s="14"/>
      <c r="C14" s="14"/>
      <c r="D14" s="14"/>
      <c r="E14" s="14"/>
      <c r="F14" s="14"/>
      <c r="G14" s="14"/>
      <c r="H14" s="14"/>
    </row>
    <row r="15" ht="79.5" customHeight="1" spans="1:8">
      <c r="A15" s="14"/>
      <c r="B15" s="14"/>
      <c r="C15" s="14"/>
      <c r="D15" s="14"/>
      <c r="E15" s="14"/>
      <c r="F15" s="14"/>
      <c r="G15" s="14"/>
      <c r="H15" s="14"/>
    </row>
    <row r="16" ht="79.5" customHeight="1" spans="1:8">
      <c r="A16" s="14"/>
      <c r="B16" s="14"/>
      <c r="C16" s="14"/>
      <c r="D16" s="14"/>
      <c r="E16" s="14"/>
      <c r="F16" s="14"/>
      <c r="G16" s="14"/>
      <c r="H16" s="14"/>
    </row>
    <row r="17" ht="79.5" customHeight="1" spans="1:8">
      <c r="A17" s="14"/>
      <c r="B17" s="14"/>
      <c r="C17" s="14"/>
      <c r="D17" s="14"/>
      <c r="E17" s="14"/>
      <c r="F17" s="14"/>
      <c r="G17" s="14"/>
      <c r="H17" s="14"/>
    </row>
    <row r="18" ht="79.5" customHeight="1" spans="1:8">
      <c r="A18" s="14"/>
      <c r="B18" s="14"/>
      <c r="C18" s="14"/>
      <c r="D18" s="14"/>
      <c r="E18" s="14"/>
      <c r="F18" s="14"/>
      <c r="G18" s="14"/>
      <c r="H18" s="14"/>
    </row>
    <row r="19" ht="79.5" customHeight="1" spans="1:8">
      <c r="A19" s="14"/>
      <c r="B19" s="14"/>
      <c r="C19" s="14"/>
      <c r="D19" s="14"/>
      <c r="E19" s="14"/>
      <c r="F19" s="14"/>
      <c r="G19" s="14"/>
      <c r="H19" s="14"/>
    </row>
    <row r="20" ht="79.5" customHeight="1" spans="1:8">
      <c r="A20" s="14"/>
      <c r="B20" s="14"/>
      <c r="C20" s="14"/>
      <c r="D20" s="14"/>
      <c r="E20" s="14"/>
      <c r="F20" s="14"/>
      <c r="G20" s="14"/>
      <c r="H20" s="14"/>
    </row>
    <row r="21" ht="79.5" customHeight="1" spans="1:8">
      <c r="A21" s="14"/>
      <c r="B21" s="14"/>
      <c r="C21" s="14"/>
      <c r="D21" s="14"/>
      <c r="E21" s="14"/>
      <c r="F21" s="14"/>
      <c r="G21" s="14"/>
      <c r="H21" s="14"/>
    </row>
    <row r="22" ht="79.5" customHeight="1" spans="1:8">
      <c r="A22" s="14"/>
      <c r="B22" s="14"/>
      <c r="C22" s="14"/>
      <c r="D22" s="14"/>
      <c r="E22" s="14"/>
      <c r="F22" s="14"/>
      <c r="G22" s="14"/>
      <c r="H22" s="14"/>
    </row>
    <row r="23" ht="79.5" customHeight="1" spans="1:8">
      <c r="A23" s="14"/>
      <c r="B23" s="14"/>
      <c r="C23" s="14"/>
      <c r="D23" s="14"/>
      <c r="E23" s="14"/>
      <c r="F23" s="14"/>
      <c r="G23" s="14"/>
      <c r="H23" s="14"/>
    </row>
    <row r="24" ht="79.5" customHeight="1" spans="1:8">
      <c r="A24" s="14"/>
      <c r="B24" s="14"/>
      <c r="C24" s="14"/>
      <c r="D24" s="14"/>
      <c r="E24" s="14"/>
      <c r="F24" s="14"/>
      <c r="G24" s="14"/>
      <c r="H24" s="14"/>
    </row>
    <row r="25" ht="79.5" customHeight="1" spans="1:8">
      <c r="A25" s="14"/>
      <c r="B25" s="14"/>
      <c r="C25" s="14"/>
      <c r="D25" s="14"/>
      <c r="E25" s="14"/>
      <c r="F25" s="14"/>
      <c r="G25" s="14"/>
      <c r="H25" s="14"/>
    </row>
    <row r="26" ht="79.5" customHeight="1" spans="1:8">
      <c r="A26" s="14"/>
      <c r="B26" s="14"/>
      <c r="C26" s="14"/>
      <c r="D26" s="14"/>
      <c r="E26" s="14"/>
      <c r="F26" s="14"/>
      <c r="G26" s="14"/>
      <c r="H26" s="14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1"/>
    <mergeCell ref="A2:H2"/>
  </mergeCells>
  <pageMargins left="0.75" right="0.75" top="1" bottom="1" header="0" footer="0"/>
  <pageSetup paperSize="1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selection activeCell="A1" sqref="A1:F1"/>
    </sheetView>
  </sheetViews>
  <sheetFormatPr defaultColWidth="14.4285714285714" defaultRowHeight="15" customHeight="1" outlineLevelCol="5"/>
  <cols>
    <col min="1" max="1" width="12" customWidth="1"/>
    <col min="2" max="2" width="22" customWidth="1"/>
    <col min="3" max="6" width="30" customWidth="1"/>
    <col min="7" max="26" width="8.71428571428571" customWidth="1"/>
  </cols>
  <sheetData>
    <row r="1" ht="21" spans="1:1">
      <c r="A1" s="15" t="s">
        <v>106</v>
      </c>
    </row>
    <row r="2" spans="1:1">
      <c r="A2" s="16" t="s">
        <v>107</v>
      </c>
    </row>
    <row r="3" ht="39.75" customHeight="1" spans="1:6">
      <c r="A3" s="4" t="s">
        <v>108</v>
      </c>
      <c r="B3" s="4" t="s">
        <v>109</v>
      </c>
      <c r="C3" s="4" t="s">
        <v>110</v>
      </c>
      <c r="D3" s="4" t="s">
        <v>111</v>
      </c>
      <c r="E3" s="4" t="s">
        <v>112</v>
      </c>
      <c r="F3" s="4" t="s">
        <v>113</v>
      </c>
    </row>
    <row r="4" ht="60" customHeight="1" spans="1:6">
      <c r="A4" s="17">
        <v>3</v>
      </c>
      <c r="B4" s="18" t="s">
        <v>114</v>
      </c>
      <c r="C4" s="18" t="s">
        <v>115</v>
      </c>
      <c r="D4" s="18" t="s">
        <v>116</v>
      </c>
      <c r="E4" s="18" t="s">
        <v>117</v>
      </c>
      <c r="F4" s="18" t="s">
        <v>118</v>
      </c>
    </row>
    <row r="5" ht="45" spans="1:6">
      <c r="A5" s="17">
        <v>5</v>
      </c>
      <c r="B5" s="18" t="s">
        <v>119</v>
      </c>
      <c r="C5" s="18" t="s">
        <v>120</v>
      </c>
      <c r="D5" s="18" t="s">
        <v>121</v>
      </c>
      <c r="E5" s="18" t="s">
        <v>122</v>
      </c>
      <c r="F5" s="18" t="s">
        <v>123</v>
      </c>
    </row>
    <row r="6" ht="60" customHeight="1" spans="1:6">
      <c r="A6" s="14">
        <v>8</v>
      </c>
      <c r="B6" s="14" t="s">
        <v>124</v>
      </c>
      <c r="C6" s="14" t="s">
        <v>125</v>
      </c>
      <c r="D6" s="14" t="s">
        <v>126</v>
      </c>
      <c r="E6" s="14" t="s">
        <v>127</v>
      </c>
      <c r="F6" s="14" t="s">
        <v>128</v>
      </c>
    </row>
    <row r="7" ht="60" customHeight="1" spans="1:6">
      <c r="A7" s="14">
        <v>10</v>
      </c>
      <c r="B7" s="14" t="s">
        <v>129</v>
      </c>
      <c r="C7" s="14" t="s">
        <v>130</v>
      </c>
      <c r="D7" s="14" t="s">
        <v>131</v>
      </c>
      <c r="E7" s="14" t="s">
        <v>132</v>
      </c>
      <c r="F7" s="14" t="s">
        <v>133</v>
      </c>
    </row>
    <row r="8" ht="60" customHeight="1" spans="1:6">
      <c r="A8" s="14">
        <v>7</v>
      </c>
      <c r="B8" s="14" t="s">
        <v>134</v>
      </c>
      <c r="C8" s="14" t="s">
        <v>135</v>
      </c>
      <c r="D8" s="14" t="s">
        <v>136</v>
      </c>
      <c r="E8" s="14" t="s">
        <v>137</v>
      </c>
      <c r="F8" s="14" t="s">
        <v>138</v>
      </c>
    </row>
    <row r="9" ht="60" customHeight="1" spans="1:6">
      <c r="A9" s="14">
        <v>2</v>
      </c>
      <c r="B9" s="14" t="s">
        <v>139</v>
      </c>
      <c r="C9" s="14" t="s">
        <v>140</v>
      </c>
      <c r="D9" s="14" t="s">
        <v>141</v>
      </c>
      <c r="E9" s="14" t="s">
        <v>142</v>
      </c>
      <c r="F9" s="14" t="s">
        <v>143</v>
      </c>
    </row>
    <row r="10" ht="60" customHeight="1" spans="1:6">
      <c r="A10" s="14"/>
      <c r="B10" s="14"/>
      <c r="C10" s="14"/>
      <c r="D10" s="14"/>
      <c r="E10" s="14"/>
      <c r="F10" s="14"/>
    </row>
    <row r="11" ht="60" customHeight="1" spans="1:6">
      <c r="A11" s="14"/>
      <c r="B11" s="14"/>
      <c r="C11" s="14"/>
      <c r="D11" s="14"/>
      <c r="E11" s="14"/>
      <c r="F11" s="14"/>
    </row>
    <row r="12" ht="60" customHeight="1" spans="1:6">
      <c r="A12" s="14"/>
      <c r="B12" s="14"/>
      <c r="C12" s="14"/>
      <c r="D12" s="14"/>
      <c r="E12" s="14"/>
      <c r="F12" s="14"/>
    </row>
    <row r="13" ht="60" customHeight="1" spans="1:6">
      <c r="A13" s="14"/>
      <c r="B13" s="14"/>
      <c r="C13" s="14"/>
      <c r="D13" s="14"/>
      <c r="E13" s="14"/>
      <c r="F13" s="14"/>
    </row>
    <row r="14" ht="60" customHeight="1" spans="1:6">
      <c r="A14" s="14"/>
      <c r="B14" s="14"/>
      <c r="C14" s="14"/>
      <c r="D14" s="14"/>
      <c r="E14" s="14"/>
      <c r="F14" s="14"/>
    </row>
    <row r="15" ht="60" customHeight="1" spans="1:6">
      <c r="A15" s="14"/>
      <c r="B15" s="14"/>
      <c r="C15" s="14"/>
      <c r="D15" s="14"/>
      <c r="E15" s="14"/>
      <c r="F15" s="14"/>
    </row>
    <row r="16" ht="60" customHeight="1" spans="1:6">
      <c r="A16" s="14"/>
      <c r="B16" s="14"/>
      <c r="C16" s="14"/>
      <c r="D16" s="14"/>
      <c r="E16" s="14"/>
      <c r="F16" s="14"/>
    </row>
    <row r="17" ht="60" customHeight="1" spans="1:6">
      <c r="A17" s="14"/>
      <c r="B17" s="14"/>
      <c r="C17" s="14"/>
      <c r="D17" s="14"/>
      <c r="E17" s="14"/>
      <c r="F17" s="14"/>
    </row>
    <row r="18" ht="60" customHeight="1" spans="1:6">
      <c r="A18" s="14"/>
      <c r="B18" s="14"/>
      <c r="C18" s="14"/>
      <c r="D18" s="14"/>
      <c r="E18" s="14"/>
      <c r="F18" s="14"/>
    </row>
    <row r="19" ht="60" customHeight="1" spans="1:6">
      <c r="A19" s="14"/>
      <c r="B19" s="14"/>
      <c r="C19" s="14"/>
      <c r="D19" s="14"/>
      <c r="E19" s="14"/>
      <c r="F19" s="14"/>
    </row>
    <row r="20" ht="60" customHeight="1" spans="1:6">
      <c r="A20" s="14"/>
      <c r="B20" s="14"/>
      <c r="C20" s="14"/>
      <c r="D20" s="14"/>
      <c r="E20" s="14"/>
      <c r="F20" s="14"/>
    </row>
    <row r="21" ht="60" customHeight="1" spans="1:6">
      <c r="A21" s="14"/>
      <c r="B21" s="14"/>
      <c r="C21" s="14"/>
      <c r="D21" s="14"/>
      <c r="E21" s="14"/>
      <c r="F21" s="14"/>
    </row>
    <row r="22" ht="60" customHeight="1" spans="1:6">
      <c r="A22" s="14"/>
      <c r="B22" s="14"/>
      <c r="C22" s="14"/>
      <c r="D22" s="14"/>
      <c r="E22" s="14"/>
      <c r="F22" s="14"/>
    </row>
    <row r="23" ht="60" customHeight="1" spans="1:6">
      <c r="A23" s="14"/>
      <c r="B23" s="14"/>
      <c r="C23" s="14"/>
      <c r="D23" s="14"/>
      <c r="E23" s="14"/>
      <c r="F23" s="14"/>
    </row>
    <row r="24" ht="60" customHeight="1" spans="1:6">
      <c r="A24" s="14"/>
      <c r="B24" s="14"/>
      <c r="C24" s="14"/>
      <c r="D24" s="14"/>
      <c r="E24" s="14"/>
      <c r="F24" s="14"/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 spans="1:1">
      <c r="A30" s="3" t="s">
        <v>144</v>
      </c>
    </row>
    <row r="31" ht="15.75" customHeight="1" spans="1:3">
      <c r="A31" s="12" t="s">
        <v>145</v>
      </c>
      <c r="B31" s="12" t="s">
        <v>146</v>
      </c>
      <c r="C31" s="12" t="s">
        <v>147</v>
      </c>
    </row>
    <row r="32" ht="15.75" customHeight="1" spans="1:3">
      <c r="A32" s="14" t="s">
        <v>148</v>
      </c>
      <c r="B32" s="14" t="s">
        <v>149</v>
      </c>
      <c r="C32" s="14" t="s">
        <v>150</v>
      </c>
    </row>
    <row r="33" ht="15.75" customHeight="1" spans="1:3">
      <c r="A33" s="14" t="s">
        <v>151</v>
      </c>
      <c r="B33" s="14" t="s">
        <v>152</v>
      </c>
      <c r="C33" s="14" t="s">
        <v>153</v>
      </c>
    </row>
    <row r="34" ht="15.75" customHeight="1" spans="1:3">
      <c r="A34" s="14" t="s">
        <v>154</v>
      </c>
      <c r="B34" s="14" t="s">
        <v>155</v>
      </c>
      <c r="C34" s="14" t="s">
        <v>156</v>
      </c>
    </row>
    <row r="35" ht="15.75" customHeight="1" spans="1:3">
      <c r="A35" s="14" t="s">
        <v>157</v>
      </c>
      <c r="B35" s="14" t="s">
        <v>158</v>
      </c>
      <c r="C35" s="14" t="s">
        <v>159</v>
      </c>
    </row>
    <row r="36" ht="15.75" customHeight="1" spans="1:3">
      <c r="A36" s="14" t="s">
        <v>114</v>
      </c>
      <c r="B36" s="14" t="s">
        <v>160</v>
      </c>
      <c r="C36" s="14" t="s">
        <v>161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2:F2"/>
  </mergeCells>
  <pageMargins left="0.75" right="0.75" top="1" bottom="1" header="0" footer="0"/>
  <pageSetup paperSize="1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tabSelected="1" topLeftCell="A3" workbookViewId="0">
      <selection activeCell="D27" sqref="D27"/>
    </sheetView>
  </sheetViews>
  <sheetFormatPr defaultColWidth="14.4285714285714" defaultRowHeight="15" customHeight="1" outlineLevelCol="3"/>
  <cols>
    <col min="1" max="1" width="8" customWidth="1"/>
    <col min="2" max="2" width="60" customWidth="1"/>
    <col min="3" max="3" width="10" customWidth="1"/>
    <col min="4" max="4" width="30" customWidth="1"/>
    <col min="5" max="26" width="8.71428571428571" customWidth="1"/>
  </cols>
  <sheetData>
    <row r="1" ht="21" spans="1:1">
      <c r="A1" s="1" t="s">
        <v>162</v>
      </c>
    </row>
    <row r="2" spans="1:1">
      <c r="A2" s="2" t="s">
        <v>163</v>
      </c>
    </row>
    <row r="4" ht="18.75" spans="1:1">
      <c r="A4" s="3" t="s">
        <v>164</v>
      </c>
    </row>
    <row r="5" spans="1:4">
      <c r="A5" s="4" t="s">
        <v>165</v>
      </c>
      <c r="B5" s="5" t="s">
        <v>166</v>
      </c>
      <c r="C5" s="4" t="s">
        <v>167</v>
      </c>
      <c r="D5" s="5" t="s">
        <v>168</v>
      </c>
    </row>
    <row r="6" spans="1:4">
      <c r="A6" s="6" t="s">
        <v>169</v>
      </c>
      <c r="B6" s="7" t="s">
        <v>170</v>
      </c>
      <c r="C6" s="6" t="s">
        <v>171</v>
      </c>
      <c r="D6" s="7"/>
    </row>
    <row r="7" spans="1:4">
      <c r="A7" s="6" t="s">
        <v>172</v>
      </c>
      <c r="B7" s="7" t="s">
        <v>173</v>
      </c>
      <c r="C7" s="6" t="s">
        <v>171</v>
      </c>
      <c r="D7" s="7"/>
    </row>
    <row r="8" spans="1:4">
      <c r="A8" s="6" t="s">
        <v>174</v>
      </c>
      <c r="B8" s="7" t="s">
        <v>175</v>
      </c>
      <c r="C8" s="6" t="s">
        <v>171</v>
      </c>
      <c r="D8" s="7"/>
    </row>
    <row r="9" spans="1:4">
      <c r="A9" s="6" t="s">
        <v>176</v>
      </c>
      <c r="B9" s="7" t="s">
        <v>177</v>
      </c>
      <c r="C9" s="6" t="s">
        <v>171</v>
      </c>
      <c r="D9" s="7"/>
    </row>
    <row r="10" spans="1:4">
      <c r="A10" s="6" t="s">
        <v>178</v>
      </c>
      <c r="B10" s="7" t="s">
        <v>179</v>
      </c>
      <c r="C10" s="6" t="s">
        <v>171</v>
      </c>
      <c r="D10" s="7"/>
    </row>
    <row r="12" ht="18.75" spans="1:1">
      <c r="A12" s="3" t="s">
        <v>180</v>
      </c>
    </row>
    <row r="13" spans="1:4">
      <c r="A13" s="4" t="s">
        <v>165</v>
      </c>
      <c r="B13" s="5" t="s">
        <v>166</v>
      </c>
      <c r="C13" s="4" t="s">
        <v>167</v>
      </c>
      <c r="D13" s="5" t="s">
        <v>181</v>
      </c>
    </row>
    <row r="14" spans="1:4">
      <c r="A14" s="6" t="s">
        <v>169</v>
      </c>
      <c r="B14" s="7" t="s">
        <v>182</v>
      </c>
      <c r="C14" s="6" t="s">
        <v>171</v>
      </c>
      <c r="D14" s="7"/>
    </row>
    <row r="15" spans="1:4">
      <c r="A15" s="6" t="s">
        <v>172</v>
      </c>
      <c r="B15" s="7" t="s">
        <v>183</v>
      </c>
      <c r="C15" s="6" t="s">
        <v>171</v>
      </c>
      <c r="D15" s="7"/>
    </row>
    <row r="16" spans="1:4">
      <c r="A16" s="6" t="s">
        <v>174</v>
      </c>
      <c r="B16" s="7" t="s">
        <v>184</v>
      </c>
      <c r="C16" s="6" t="s">
        <v>171</v>
      </c>
      <c r="D16" s="7"/>
    </row>
    <row r="17" spans="1:4">
      <c r="A17" s="6" t="s">
        <v>176</v>
      </c>
      <c r="B17" s="7" t="s">
        <v>185</v>
      </c>
      <c r="C17" s="6" t="s">
        <v>171</v>
      </c>
      <c r="D17" s="7"/>
    </row>
    <row r="18" spans="1:4">
      <c r="A18" s="6" t="s">
        <v>178</v>
      </c>
      <c r="B18" s="7" t="s">
        <v>186</v>
      </c>
      <c r="C18" s="6" t="s">
        <v>171</v>
      </c>
      <c r="D18" s="7"/>
    </row>
    <row r="20" ht="15.75" spans="1:1">
      <c r="A20" s="8" t="s">
        <v>187</v>
      </c>
    </row>
    <row r="21" ht="15.75" customHeight="1" spans="1:1">
      <c r="A21" s="9" t="s">
        <v>188</v>
      </c>
    </row>
    <row r="22" ht="15.75" customHeight="1" spans="1:1">
      <c r="A22" s="9" t="s">
        <v>189</v>
      </c>
    </row>
    <row r="23" ht="15.75" customHeight="1"/>
    <row r="24" ht="15.75" customHeight="1"/>
    <row r="25" ht="15.75" customHeight="1" spans="1:1">
      <c r="A25" s="3" t="s">
        <v>190</v>
      </c>
    </row>
    <row r="26" ht="15.75" customHeight="1" spans="1:1">
      <c r="A26" s="10" t="s">
        <v>191</v>
      </c>
    </row>
    <row r="27" ht="15.75" customHeight="1" spans="1:4">
      <c r="A27" s="11" t="s">
        <v>41</v>
      </c>
      <c r="B27" s="12" t="s">
        <v>192</v>
      </c>
      <c r="C27" s="12" t="s">
        <v>193</v>
      </c>
      <c r="D27" s="12" t="s">
        <v>194</v>
      </c>
    </row>
    <row r="28" ht="15.75" customHeight="1" spans="1:4">
      <c r="A28" s="13" t="s">
        <v>195</v>
      </c>
      <c r="B28" s="14"/>
      <c r="C28" s="14"/>
      <c r="D28" s="14"/>
    </row>
    <row r="29" ht="15.75" customHeight="1" spans="1:4">
      <c r="A29" s="13" t="s">
        <v>196</v>
      </c>
      <c r="B29" s="14"/>
      <c r="C29" s="14"/>
      <c r="D29" s="14"/>
    </row>
    <row r="30" ht="15.75" customHeight="1" spans="1:4">
      <c r="A30" s="13" t="s">
        <v>197</v>
      </c>
      <c r="B30" s="14"/>
      <c r="C30" s="14"/>
      <c r="D30" s="14"/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D1"/>
    <mergeCell ref="A2:D2"/>
  </mergeCells>
  <pageMargins left="0.75" right="0.75" top="1" bottom="1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2026-05-07T22:28:00Z</dcterms:created>
  <dcterms:modified xsi:type="dcterms:W3CDTF">2026-06-28T16:22:12Z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</Properties>
</file>